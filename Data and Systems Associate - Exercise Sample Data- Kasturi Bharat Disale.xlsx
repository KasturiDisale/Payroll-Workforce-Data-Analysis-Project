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" sheetId="1" r:id="rId5"/>
    <sheet state="visible" name="Data" sheetId="2" r:id="rId6"/>
    <sheet state="visible" name="MinHr_Weekly_Bonus" sheetId="3" r:id="rId7"/>
    <sheet state="visible" name="Weekly_Bonus_By_Person" sheetId="4" r:id="rId8"/>
    <sheet state="visible" name="Totals by Pay Period" sheetId="5" r:id="rId9"/>
  </sheets>
  <definedNames>
    <definedName hidden="1" localSheetId="1" name="_xlnm._FilterDatabase">Data!$A$1:$AF$973</definedName>
  </definedNames>
  <calcPr/>
</workbook>
</file>

<file path=xl/sharedStrings.xml><?xml version="1.0" encoding="utf-8"?>
<sst xmlns="http://schemas.openxmlformats.org/spreadsheetml/2006/main" count="1854" uniqueCount="98">
  <si>
    <t>Campaign</t>
  </si>
  <si>
    <t>Venue</t>
  </si>
  <si>
    <t>Week Ending Date</t>
  </si>
  <si>
    <t>Pay Period</t>
  </si>
  <si>
    <t>Position Type</t>
  </si>
  <si>
    <t>Position's Base Hourly Pay Rate</t>
  </si>
  <si>
    <t>Campaign A</t>
  </si>
  <si>
    <t>Door</t>
  </si>
  <si>
    <t>Canvasser</t>
  </si>
  <si>
    <t>Team Lead</t>
  </si>
  <si>
    <t>Support Staff</t>
  </si>
  <si>
    <t>Campaign B</t>
  </si>
  <si>
    <t>Office</t>
  </si>
  <si>
    <t>Canvass Date</t>
  </si>
  <si>
    <t>Position</t>
  </si>
  <si>
    <t>Shift Type</t>
  </si>
  <si>
    <t>Clock In</t>
  </si>
  <si>
    <t>Clock Out</t>
  </si>
  <si>
    <t>Unpaid Break Time (In Mins)</t>
  </si>
  <si>
    <t>Canvassing Start Time</t>
  </si>
  <si>
    <t>Canvassing End Time</t>
  </si>
  <si>
    <t>Total Paid Break Time While Canvassing (In Mins)</t>
  </si>
  <si>
    <t>Shifts Credited</t>
  </si>
  <si>
    <t>Knocks</t>
  </si>
  <si>
    <t>Week End Date Per Shift</t>
  </si>
  <si>
    <t>Total Paid Hours</t>
  </si>
  <si>
    <t>Hourly Rate</t>
  </si>
  <si>
    <t>Base Pay</t>
  </si>
  <si>
    <t>Total Canvassing Hours</t>
  </si>
  <si>
    <t>Total Knocks Per Canvassing Hour</t>
  </si>
  <si>
    <t>Day Of Week</t>
  </si>
  <si>
    <t>Friday Or Saturday Bonus</t>
  </si>
  <si>
    <t>Weekly Canvassing Hours</t>
  </si>
  <si>
    <t>Weekly Bonus</t>
  </si>
  <si>
    <t>Total Pay</t>
  </si>
  <si>
    <t>Data Issues</t>
  </si>
  <si>
    <t>Washington</t>
  </si>
  <si>
    <t>Maya Patel</t>
  </si>
  <si>
    <t>No Field Time</t>
  </si>
  <si>
    <t>Jordan Williams</t>
  </si>
  <si>
    <t>Carlos Ramirez</t>
  </si>
  <si>
    <t>Emily Chen</t>
  </si>
  <si>
    <t>Aisha Johnson</t>
  </si>
  <si>
    <t>Daniel Kim</t>
  </si>
  <si>
    <t>Regular</t>
  </si>
  <si>
    <t>Sofia Martinez</t>
  </si>
  <si>
    <t>Marcus Thompson</t>
  </si>
  <si>
    <t>Priya Nair</t>
  </si>
  <si>
    <t>Ethan Brooks</t>
  </si>
  <si>
    <t>Fatima Hassan</t>
  </si>
  <si>
    <t>Noah Levine</t>
  </si>
  <si>
    <t>Grace Nguyen</t>
  </si>
  <si>
    <t>Alejandro Cruz</t>
  </si>
  <si>
    <t>Hannah O’Connor</t>
  </si>
  <si>
    <t>Jamal Washington</t>
  </si>
  <si>
    <t>Linh Tran</t>
  </si>
  <si>
    <t>Olivia Bennett</t>
  </si>
  <si>
    <t>Rohan Mehta</t>
  </si>
  <si>
    <t>Isabella Flores</t>
  </si>
  <si>
    <t>Samuel Wright</t>
  </si>
  <si>
    <t>Caleb Robinson</t>
  </si>
  <si>
    <t>Zainab Ali</t>
  </si>
  <si>
    <t>Chloe Park</t>
  </si>
  <si>
    <t>Ahmed El-Sayed</t>
  </si>
  <si>
    <t>Natalie Rivera</t>
  </si>
  <si>
    <t>Benjamin Stein</t>
  </si>
  <si>
    <t>Leila Abdallah</t>
  </si>
  <si>
    <t>David Okafor</t>
  </si>
  <si>
    <t>Julia Kowalski</t>
  </si>
  <si>
    <t>Victor Ivanov</t>
  </si>
  <si>
    <t>Amara Mensah</t>
  </si>
  <si>
    <t>Tyler Price</t>
  </si>
  <si>
    <t>Mei Liu</t>
  </si>
  <si>
    <t>Luis Herrera</t>
  </si>
  <si>
    <t>Sarah Ahmed</t>
  </si>
  <si>
    <t>Kevin Murphy</t>
  </si>
  <si>
    <t>Anika Singh</t>
  </si>
  <si>
    <t>Jacob Anderson</t>
  </si>
  <si>
    <t>Rebecca Goldstein</t>
  </si>
  <si>
    <t>Nia Brown</t>
  </si>
  <si>
    <t>Michael Sullivan</t>
  </si>
  <si>
    <t>Yara Haddad</t>
  </si>
  <si>
    <t>José Alvarez</t>
  </si>
  <si>
    <t>Brittany Scott</t>
  </si>
  <si>
    <t>Kofi Boateng</t>
  </si>
  <si>
    <t>Ava Reynolds</t>
  </si>
  <si>
    <t>Denis Petrov</t>
  </si>
  <si>
    <t>Sienna Russo</t>
  </si>
  <si>
    <t>Tariq Khan</t>
  </si>
  <si>
    <t>Brooke Foster</t>
  </si>
  <si>
    <t>Haruto Tanaka</t>
  </si>
  <si>
    <t>Week Ending</t>
  </si>
  <si>
    <t>Minimum Canvassing Hours</t>
  </si>
  <si>
    <t>Bonus Amount</t>
  </si>
  <si>
    <t>Note: Defines weekly bonus rules based on week end date.</t>
  </si>
  <si>
    <t>Note: Calculates weekly bonuses once per canvasser per week to avoid double counting.</t>
  </si>
  <si>
    <t>Shift Pay (Base + Fri/Sat Bonuses)</t>
  </si>
  <si>
    <t>Note: Final payroll summary combining shift pay and weekly bonuses.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</si>
</sst>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M/d/yyyy"/>
    <numFmt numFmtId="167" formatCode="h:mm:ss am/pm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4" xfId="0" applyAlignment="1" applyFont="1" applyNumberFormat="1">
      <alignment readingOrder="0" shrinkToFit="0" wrapText="1"/>
    </xf>
    <xf borderId="0" fillId="0" fontId="3" numFmtId="2" xfId="0" applyAlignment="1" applyFont="1" applyNumberFormat="1">
      <alignment readingOrder="0" shrinkToFit="0" wrapText="1"/>
    </xf>
    <xf borderId="0" fillId="0" fontId="3" numFmtId="1" xfId="0" applyAlignment="1" applyFont="1" applyNumberForma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164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6" xfId="0" applyFont="1" applyNumberFormat="1"/>
    <xf borderId="0" fillId="0" fontId="4" numFmtId="4" xfId="0" applyFont="1" applyNumberFormat="1"/>
    <xf borderId="0" fillId="0" fontId="4" numFmtId="3" xfId="0" applyFont="1" applyNumberFormat="1"/>
    <xf borderId="0" fillId="0" fontId="4" numFmtId="1" xfId="0" applyFont="1" applyNumberFormat="1"/>
    <xf borderId="0" fillId="0" fontId="4" numFmtId="0" xfId="0" applyFont="1"/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0" xfId="0" applyFont="1"/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46038.0</v>
      </c>
      <c r="D2" s="3">
        <v>46038.0</v>
      </c>
      <c r="E2" s="2" t="s">
        <v>8</v>
      </c>
      <c r="F2" s="4">
        <v>24.0</v>
      </c>
    </row>
    <row r="3">
      <c r="A3" s="2" t="s">
        <v>6</v>
      </c>
      <c r="B3" s="2" t="s">
        <v>7</v>
      </c>
      <c r="C3" s="3">
        <v>46045.0</v>
      </c>
      <c r="D3" s="3">
        <v>46052.0</v>
      </c>
      <c r="E3" s="2" t="s">
        <v>8</v>
      </c>
      <c r="F3" s="4">
        <v>24.0</v>
      </c>
    </row>
    <row r="4">
      <c r="A4" s="2" t="s">
        <v>6</v>
      </c>
      <c r="B4" s="2" t="s">
        <v>7</v>
      </c>
      <c r="C4" s="3">
        <v>46052.0</v>
      </c>
      <c r="D4" s="3">
        <v>46052.0</v>
      </c>
      <c r="E4" s="2" t="s">
        <v>8</v>
      </c>
      <c r="F4" s="4">
        <v>24.0</v>
      </c>
    </row>
    <row r="5">
      <c r="A5" s="2" t="s">
        <v>6</v>
      </c>
      <c r="B5" s="2" t="s">
        <v>7</v>
      </c>
      <c r="C5" s="3">
        <v>46059.0</v>
      </c>
      <c r="D5" s="3">
        <v>46066.0</v>
      </c>
      <c r="E5" s="2" t="s">
        <v>8</v>
      </c>
      <c r="F5" s="4">
        <v>25.0</v>
      </c>
    </row>
    <row r="6">
      <c r="A6" s="2" t="s">
        <v>6</v>
      </c>
      <c r="B6" s="2" t="s">
        <v>7</v>
      </c>
      <c r="C6" s="3">
        <v>46066.0</v>
      </c>
      <c r="D6" s="3">
        <v>46066.0</v>
      </c>
      <c r="E6" s="2" t="s">
        <v>8</v>
      </c>
      <c r="F6" s="4">
        <v>25.0</v>
      </c>
    </row>
    <row r="7">
      <c r="A7" s="2" t="s">
        <v>6</v>
      </c>
      <c r="B7" s="2" t="s">
        <v>7</v>
      </c>
      <c r="C7" s="3">
        <v>46073.0</v>
      </c>
      <c r="D7" s="3">
        <v>46080.0</v>
      </c>
      <c r="E7" s="2" t="s">
        <v>8</v>
      </c>
      <c r="F7" s="4">
        <v>25.0</v>
      </c>
    </row>
    <row r="8">
      <c r="A8" s="2" t="s">
        <v>6</v>
      </c>
      <c r="B8" s="2" t="s">
        <v>7</v>
      </c>
      <c r="C8" s="3">
        <v>46080.0</v>
      </c>
      <c r="D8" s="3">
        <v>46080.0</v>
      </c>
      <c r="E8" s="2" t="s">
        <v>8</v>
      </c>
      <c r="F8" s="4">
        <v>25.0</v>
      </c>
    </row>
    <row r="9">
      <c r="A9" s="2" t="s">
        <v>6</v>
      </c>
      <c r="B9" s="2" t="s">
        <v>7</v>
      </c>
      <c r="C9" s="3">
        <v>46038.0</v>
      </c>
      <c r="D9" s="3">
        <v>46038.0</v>
      </c>
      <c r="E9" s="2" t="s">
        <v>9</v>
      </c>
      <c r="F9" s="4">
        <v>26.0</v>
      </c>
    </row>
    <row r="10">
      <c r="A10" s="2" t="s">
        <v>6</v>
      </c>
      <c r="B10" s="2" t="s">
        <v>7</v>
      </c>
      <c r="C10" s="3">
        <v>46045.0</v>
      </c>
      <c r="D10" s="3">
        <v>46052.0</v>
      </c>
      <c r="E10" s="2" t="s">
        <v>9</v>
      </c>
      <c r="F10" s="4">
        <v>26.0</v>
      </c>
    </row>
    <row r="11">
      <c r="A11" s="2" t="s">
        <v>6</v>
      </c>
      <c r="B11" s="2" t="s">
        <v>7</v>
      </c>
      <c r="C11" s="3">
        <v>46052.0</v>
      </c>
      <c r="D11" s="3">
        <v>46052.0</v>
      </c>
      <c r="E11" s="2" t="s">
        <v>9</v>
      </c>
      <c r="F11" s="4">
        <v>27.0</v>
      </c>
    </row>
    <row r="12">
      <c r="A12" s="2" t="s">
        <v>6</v>
      </c>
      <c r="B12" s="2" t="s">
        <v>7</v>
      </c>
      <c r="C12" s="3">
        <v>46059.0</v>
      </c>
      <c r="D12" s="3">
        <v>46066.0</v>
      </c>
      <c r="E12" s="2" t="s">
        <v>9</v>
      </c>
      <c r="F12" s="4">
        <v>27.0</v>
      </c>
    </row>
    <row r="13">
      <c r="A13" s="2" t="s">
        <v>6</v>
      </c>
      <c r="B13" s="2" t="s">
        <v>7</v>
      </c>
      <c r="C13" s="3">
        <v>46066.0</v>
      </c>
      <c r="D13" s="3">
        <v>46066.0</v>
      </c>
      <c r="E13" s="2" t="s">
        <v>9</v>
      </c>
      <c r="F13" s="4">
        <v>27.0</v>
      </c>
    </row>
    <row r="14">
      <c r="A14" s="2" t="s">
        <v>6</v>
      </c>
      <c r="B14" s="2" t="s">
        <v>7</v>
      </c>
      <c r="C14" s="3">
        <v>46073.0</v>
      </c>
      <c r="D14" s="3">
        <v>46080.0</v>
      </c>
      <c r="E14" s="2" t="s">
        <v>9</v>
      </c>
      <c r="F14" s="4">
        <v>27.0</v>
      </c>
    </row>
    <row r="15">
      <c r="A15" s="2" t="s">
        <v>6</v>
      </c>
      <c r="B15" s="2" t="s">
        <v>7</v>
      </c>
      <c r="C15" s="3">
        <v>46080.0</v>
      </c>
      <c r="D15" s="3">
        <v>46080.0</v>
      </c>
      <c r="E15" s="2" t="s">
        <v>9</v>
      </c>
      <c r="F15" s="4">
        <v>27.0</v>
      </c>
    </row>
    <row r="16">
      <c r="A16" s="2" t="s">
        <v>6</v>
      </c>
      <c r="B16" s="2" t="s">
        <v>7</v>
      </c>
      <c r="C16" s="3">
        <v>46038.0</v>
      </c>
      <c r="D16" s="3">
        <v>46038.0</v>
      </c>
      <c r="E16" s="2" t="s">
        <v>10</v>
      </c>
      <c r="F16" s="4">
        <v>22.0</v>
      </c>
    </row>
    <row r="17">
      <c r="A17" s="2" t="s">
        <v>6</v>
      </c>
      <c r="B17" s="2" t="s">
        <v>7</v>
      </c>
      <c r="C17" s="3">
        <v>46045.0</v>
      </c>
      <c r="D17" s="3">
        <v>46052.0</v>
      </c>
      <c r="E17" s="2" t="s">
        <v>10</v>
      </c>
      <c r="F17" s="4">
        <v>22.0</v>
      </c>
    </row>
    <row r="18">
      <c r="A18" s="2" t="s">
        <v>6</v>
      </c>
      <c r="B18" s="2" t="s">
        <v>7</v>
      </c>
      <c r="C18" s="3">
        <v>46052.0</v>
      </c>
      <c r="D18" s="3">
        <v>46052.0</v>
      </c>
      <c r="E18" s="2" t="s">
        <v>10</v>
      </c>
      <c r="F18" s="4">
        <v>22.0</v>
      </c>
    </row>
    <row r="19">
      <c r="A19" s="2" t="s">
        <v>6</v>
      </c>
      <c r="B19" s="2" t="s">
        <v>7</v>
      </c>
      <c r="C19" s="3">
        <v>46059.0</v>
      </c>
      <c r="D19" s="3">
        <v>46066.0</v>
      </c>
      <c r="E19" s="2" t="s">
        <v>10</v>
      </c>
      <c r="F19" s="4">
        <v>22.0</v>
      </c>
    </row>
    <row r="20">
      <c r="A20" s="2" t="s">
        <v>6</v>
      </c>
      <c r="B20" s="2" t="s">
        <v>7</v>
      </c>
      <c r="C20" s="3">
        <v>46066.0</v>
      </c>
      <c r="D20" s="3">
        <v>46066.0</v>
      </c>
      <c r="E20" s="2" t="s">
        <v>10</v>
      </c>
      <c r="F20" s="4">
        <v>22.0</v>
      </c>
    </row>
    <row r="21">
      <c r="A21" s="2" t="s">
        <v>6</v>
      </c>
      <c r="B21" s="2" t="s">
        <v>7</v>
      </c>
      <c r="C21" s="3">
        <v>46073.0</v>
      </c>
      <c r="D21" s="3">
        <v>46080.0</v>
      </c>
      <c r="E21" s="2" t="s">
        <v>10</v>
      </c>
      <c r="F21" s="4">
        <v>22.0</v>
      </c>
    </row>
    <row r="22">
      <c r="A22" s="2" t="s">
        <v>6</v>
      </c>
      <c r="B22" s="2" t="s">
        <v>7</v>
      </c>
      <c r="C22" s="3">
        <v>46080.0</v>
      </c>
      <c r="D22" s="3">
        <v>46080.0</v>
      </c>
      <c r="E22" s="2" t="s">
        <v>10</v>
      </c>
      <c r="F22" s="4">
        <v>22.0</v>
      </c>
    </row>
    <row r="23">
      <c r="A23" s="2" t="s">
        <v>11</v>
      </c>
      <c r="B23" s="2" t="s">
        <v>7</v>
      </c>
      <c r="C23" s="3">
        <v>46038.0</v>
      </c>
      <c r="D23" s="3">
        <v>46038.0</v>
      </c>
      <c r="E23" s="2" t="s">
        <v>8</v>
      </c>
      <c r="F23" s="4">
        <v>24.0</v>
      </c>
    </row>
    <row r="24">
      <c r="A24" s="2" t="s">
        <v>11</v>
      </c>
      <c r="B24" s="2" t="s">
        <v>7</v>
      </c>
      <c r="C24" s="3">
        <v>46045.0</v>
      </c>
      <c r="D24" s="3">
        <v>46052.0</v>
      </c>
      <c r="E24" s="2" t="s">
        <v>8</v>
      </c>
      <c r="F24" s="4">
        <v>24.0</v>
      </c>
    </row>
    <row r="25">
      <c r="A25" s="2" t="s">
        <v>11</v>
      </c>
      <c r="B25" s="2" t="s">
        <v>7</v>
      </c>
      <c r="C25" s="3">
        <v>46052.0</v>
      </c>
      <c r="D25" s="3">
        <v>46052.0</v>
      </c>
      <c r="E25" s="2" t="s">
        <v>8</v>
      </c>
      <c r="F25" s="4">
        <v>24.0</v>
      </c>
    </row>
    <row r="26">
      <c r="A26" s="2" t="s">
        <v>11</v>
      </c>
      <c r="B26" s="2" t="s">
        <v>7</v>
      </c>
      <c r="C26" s="3">
        <v>46059.0</v>
      </c>
      <c r="D26" s="3">
        <v>46066.0</v>
      </c>
      <c r="E26" s="2" t="s">
        <v>8</v>
      </c>
      <c r="F26" s="4">
        <v>24.0</v>
      </c>
    </row>
    <row r="27">
      <c r="A27" s="2" t="s">
        <v>11</v>
      </c>
      <c r="B27" s="2" t="s">
        <v>7</v>
      </c>
      <c r="C27" s="3">
        <v>46066.0</v>
      </c>
      <c r="D27" s="3">
        <v>46066.0</v>
      </c>
      <c r="E27" s="2" t="s">
        <v>8</v>
      </c>
      <c r="F27" s="4">
        <v>24.0</v>
      </c>
    </row>
    <row r="28">
      <c r="A28" s="2" t="s">
        <v>11</v>
      </c>
      <c r="B28" s="2" t="s">
        <v>7</v>
      </c>
      <c r="C28" s="3">
        <v>46073.0</v>
      </c>
      <c r="D28" s="3">
        <v>46080.0</v>
      </c>
      <c r="E28" s="2" t="s">
        <v>8</v>
      </c>
      <c r="F28" s="4">
        <v>24.0</v>
      </c>
    </row>
    <row r="29">
      <c r="A29" s="2" t="s">
        <v>11</v>
      </c>
      <c r="B29" s="2" t="s">
        <v>7</v>
      </c>
      <c r="C29" s="3">
        <v>46080.0</v>
      </c>
      <c r="D29" s="3">
        <v>46080.0</v>
      </c>
      <c r="E29" s="2" t="s">
        <v>8</v>
      </c>
      <c r="F29" s="4">
        <v>24.0</v>
      </c>
    </row>
    <row r="30">
      <c r="A30" s="2" t="s">
        <v>11</v>
      </c>
      <c r="B30" s="2" t="s">
        <v>7</v>
      </c>
      <c r="C30" s="3">
        <v>46038.0</v>
      </c>
      <c r="D30" s="3">
        <v>46038.0</v>
      </c>
      <c r="E30" s="2" t="s">
        <v>9</v>
      </c>
      <c r="F30" s="4">
        <v>26.0</v>
      </c>
    </row>
    <row r="31">
      <c r="A31" s="2" t="s">
        <v>11</v>
      </c>
      <c r="B31" s="2" t="s">
        <v>7</v>
      </c>
      <c r="C31" s="3">
        <v>46045.0</v>
      </c>
      <c r="D31" s="3">
        <v>46052.0</v>
      </c>
      <c r="E31" s="2" t="s">
        <v>9</v>
      </c>
      <c r="F31" s="4">
        <v>26.0</v>
      </c>
    </row>
    <row r="32">
      <c r="A32" s="2" t="s">
        <v>11</v>
      </c>
      <c r="B32" s="2" t="s">
        <v>7</v>
      </c>
      <c r="C32" s="3">
        <v>46052.0</v>
      </c>
      <c r="D32" s="3">
        <v>46052.0</v>
      </c>
      <c r="E32" s="2" t="s">
        <v>9</v>
      </c>
      <c r="F32" s="4">
        <v>26.0</v>
      </c>
    </row>
    <row r="33">
      <c r="A33" s="2" t="s">
        <v>11</v>
      </c>
      <c r="B33" s="2" t="s">
        <v>7</v>
      </c>
      <c r="C33" s="3">
        <v>46059.0</v>
      </c>
      <c r="D33" s="3">
        <v>46066.0</v>
      </c>
      <c r="E33" s="2" t="s">
        <v>9</v>
      </c>
      <c r="F33" s="4">
        <v>26.0</v>
      </c>
    </row>
    <row r="34">
      <c r="A34" s="2" t="s">
        <v>11</v>
      </c>
      <c r="B34" s="2" t="s">
        <v>7</v>
      </c>
      <c r="C34" s="3">
        <v>46066.0</v>
      </c>
      <c r="D34" s="3">
        <v>46066.0</v>
      </c>
      <c r="E34" s="2" t="s">
        <v>9</v>
      </c>
      <c r="F34" s="4">
        <v>26.0</v>
      </c>
    </row>
    <row r="35">
      <c r="A35" s="2" t="s">
        <v>11</v>
      </c>
      <c r="B35" s="2" t="s">
        <v>7</v>
      </c>
      <c r="C35" s="3">
        <v>46073.0</v>
      </c>
      <c r="D35" s="3">
        <v>46080.0</v>
      </c>
      <c r="E35" s="2" t="s">
        <v>9</v>
      </c>
      <c r="F35" s="4">
        <v>26.0</v>
      </c>
    </row>
    <row r="36">
      <c r="A36" s="2" t="s">
        <v>11</v>
      </c>
      <c r="B36" s="2" t="s">
        <v>7</v>
      </c>
      <c r="C36" s="3">
        <v>46080.0</v>
      </c>
      <c r="D36" s="3">
        <v>46080.0</v>
      </c>
      <c r="E36" s="2" t="s">
        <v>9</v>
      </c>
      <c r="F36" s="4">
        <v>26.0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5.13"/>
    <col customWidth="1" min="8" max="8" width="14.75"/>
    <col customWidth="1" min="11" max="11" width="13.5"/>
    <col customWidth="1" min="12" max="12" width="13.13"/>
    <col customWidth="1" min="13" max="13" width="12.88"/>
    <col customWidth="1" min="14" max="14" width="20.38"/>
  </cols>
  <sheetData>
    <row r="1">
      <c r="A1" s="5" t="s">
        <v>12</v>
      </c>
      <c r="B1" s="5" t="s">
        <v>13</v>
      </c>
      <c r="C1" s="5" t="s">
        <v>8</v>
      </c>
      <c r="D1" s="5" t="s">
        <v>14</v>
      </c>
      <c r="E1" s="5" t="s">
        <v>0</v>
      </c>
      <c r="F1" s="5" t="s">
        <v>1</v>
      </c>
      <c r="G1" s="5" t="s">
        <v>15</v>
      </c>
      <c r="H1" s="5" t="s">
        <v>9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6" t="s">
        <v>24</v>
      </c>
      <c r="R1" s="7" t="s">
        <v>25</v>
      </c>
      <c r="S1" s="7" t="s">
        <v>26</v>
      </c>
      <c r="T1" s="8" t="s">
        <v>27</v>
      </c>
      <c r="U1" s="7" t="s">
        <v>28</v>
      </c>
      <c r="V1" s="9" t="s">
        <v>29</v>
      </c>
      <c r="W1" s="5" t="s">
        <v>30</v>
      </c>
      <c r="X1" s="5" t="s">
        <v>31</v>
      </c>
      <c r="Y1" s="6" t="s">
        <v>3</v>
      </c>
      <c r="Z1" s="10" t="s">
        <v>32</v>
      </c>
      <c r="AA1" s="5" t="s">
        <v>33</v>
      </c>
      <c r="AB1" s="5" t="s">
        <v>34</v>
      </c>
      <c r="AC1" s="5" t="s">
        <v>35</v>
      </c>
      <c r="AD1" s="11"/>
      <c r="AE1" s="11"/>
      <c r="AF1" s="11"/>
    </row>
    <row r="2">
      <c r="A2" s="10" t="s">
        <v>36</v>
      </c>
      <c r="B2" s="12">
        <v>46036.0</v>
      </c>
      <c r="C2" s="10" t="s">
        <v>37</v>
      </c>
      <c r="D2" s="10" t="s">
        <v>8</v>
      </c>
      <c r="E2" s="10" t="s">
        <v>6</v>
      </c>
      <c r="F2" s="10" t="s">
        <v>7</v>
      </c>
      <c r="G2" s="10" t="s">
        <v>38</v>
      </c>
      <c r="I2" s="13">
        <v>0.3958333333333333</v>
      </c>
      <c r="J2" s="13">
        <v>0.5763888888888888</v>
      </c>
      <c r="K2" s="10">
        <v>0.0</v>
      </c>
      <c r="O2" s="10">
        <v>0.0</v>
      </c>
      <c r="P2" s="10">
        <v>0.0</v>
      </c>
      <c r="Q2" s="14">
        <f t="shared" ref="Q2:Q246" si="1">B2+MOD(6-WEEKDAY(B2,1),7)</f>
        <v>46038</v>
      </c>
      <c r="R2" s="15">
        <f t="shared" ref="R2:R246" si="2">IF(OR(I2="", J2=""),0,(J2-I2)*24-K2/60)</f>
        <v>4.333333333</v>
      </c>
      <c r="S2" s="16">
        <f>IFERROR(__xludf.DUMMYFUNCTION("IFERROR( INDEX( FILTER( Reference!$F:$F, Reference!$A:$A = $E2, Reference!$E:$E = $D2, Reference!$C:$C = $Q2),1),""RATE_NOT_FOUND"")"),24.0)</f>
        <v>24</v>
      </c>
      <c r="T2" s="15">
        <f t="shared" ref="T2:T246" si="3">IF($S2="","", S2*R2)</f>
        <v>104</v>
      </c>
      <c r="U2" s="15">
        <f t="shared" ref="U2:U246" si="4">IF(OR(M2="",L2=""),0,(M2-L2)*24-N2/60)</f>
        <v>0</v>
      </c>
      <c r="V2" s="17">
        <f t="shared" ref="V2:V246" si="5">IF(OR(P2=0, G2="No Field Time"),0,P2/U2)</f>
        <v>0</v>
      </c>
      <c r="W2" s="18" t="str">
        <f t="shared" ref="W2:W246" si="6">TEXT(B2,"dddd")</f>
        <v>Wednesday</v>
      </c>
      <c r="X2" s="18">
        <f t="shared" ref="X2:X246" si="7">IF(AND(OR(W2="Friday", W2="Saturday"), V2&gt;=18), 50, 0)</f>
        <v>0</v>
      </c>
      <c r="Y2" s="14">
        <f>IFERROR(__xludf.DUMMYFUNCTION("IFERROR( INDEX( FILTER(Reference!$D:$D, Reference!$A:$A=$E2, Reference!$C:$C=$Q2), 1),"""")"),46038.0)</f>
        <v>46038</v>
      </c>
      <c r="Z2" s="18">
        <f t="shared" ref="Z2:Z246" si="8">SUMIFS( $U:$U, $C:$C, $C2, $Q:$Q, $Q2 )</f>
        <v>9.583333333</v>
      </c>
      <c r="AA2" s="18">
        <f>IF(Z2=0,0, IF(Z2&gt;=LOOKUP(Q2,MinHr_Weekly_Bonus!A:A,MinHr_Weekly_Bonus!B:B), LOOKUP(Q2,MinHr_Weekly_Bonus!A:A,MinHr_Weekly_Bonus!C:C), 0))</f>
        <v>0</v>
      </c>
      <c r="AB2" s="15">
        <f t="shared" ref="AB2:AB246" si="9">T2+X2</f>
        <v>104</v>
      </c>
      <c r="AC2" s="18" t="str">
        <f t="shared" ref="AC2:AC246" si="10">IF(AND(U2&lt;1, V2&gt;100, U2&gt;0),"REVIEW: very high KPH","")</f>
        <v/>
      </c>
    </row>
    <row r="3">
      <c r="A3" s="10" t="s">
        <v>36</v>
      </c>
      <c r="B3" s="12">
        <v>46036.0</v>
      </c>
      <c r="C3" s="10" t="s">
        <v>39</v>
      </c>
      <c r="D3" s="10" t="s">
        <v>8</v>
      </c>
      <c r="E3" s="10" t="s">
        <v>6</v>
      </c>
      <c r="F3" s="10" t="s">
        <v>7</v>
      </c>
      <c r="G3" s="10" t="s">
        <v>38</v>
      </c>
      <c r="I3" s="13">
        <v>0.3958333333333333</v>
      </c>
      <c r="J3" s="13">
        <v>0.5763888888888888</v>
      </c>
      <c r="K3" s="10">
        <v>0.0</v>
      </c>
      <c r="O3" s="10">
        <v>0.0</v>
      </c>
      <c r="P3" s="10">
        <v>0.0</v>
      </c>
      <c r="Q3" s="14">
        <f t="shared" si="1"/>
        <v>46038</v>
      </c>
      <c r="R3" s="15">
        <f t="shared" si="2"/>
        <v>4.333333333</v>
      </c>
      <c r="S3" s="16">
        <f>IFERROR(__xludf.DUMMYFUNCTION("IFERROR( INDEX( FILTER( Reference!$F:$F, Reference!$A:$A = $E3, Reference!$E:$E = $D3, Reference!$C:$C = $Q3),1),""RATE_NOT_FOUND"")"),24.0)</f>
        <v>24</v>
      </c>
      <c r="T3" s="15">
        <f t="shared" si="3"/>
        <v>104</v>
      </c>
      <c r="U3" s="15">
        <f t="shared" si="4"/>
        <v>0</v>
      </c>
      <c r="V3" s="17">
        <f t="shared" si="5"/>
        <v>0</v>
      </c>
      <c r="W3" s="18" t="str">
        <f t="shared" si="6"/>
        <v>Wednesday</v>
      </c>
      <c r="X3" s="18">
        <f t="shared" si="7"/>
        <v>0</v>
      </c>
      <c r="Y3" s="14">
        <f>IFERROR(__xludf.DUMMYFUNCTION("IFERROR( INDEX( FILTER(Reference!$D:$D, Reference!$A:$A=$E3, Reference!$C:$C=$Q3), 1),"""")"),46038.0)</f>
        <v>46038</v>
      </c>
      <c r="Z3" s="18">
        <f t="shared" si="8"/>
        <v>9.833333333</v>
      </c>
      <c r="AA3" s="18">
        <f>IF(Z3=0,0, IF(Z3&gt;=LOOKUP(Q3,MinHr_Weekly_Bonus!A:A,MinHr_Weekly_Bonus!B:B), LOOKUP(Q3,MinHr_Weekly_Bonus!A:A,MinHr_Weekly_Bonus!C:C), 0))</f>
        <v>0</v>
      </c>
      <c r="AB3" s="15">
        <f t="shared" si="9"/>
        <v>104</v>
      </c>
      <c r="AC3" s="18" t="str">
        <f t="shared" si="10"/>
        <v/>
      </c>
    </row>
    <row r="4">
      <c r="A4" s="10" t="s">
        <v>36</v>
      </c>
      <c r="B4" s="12">
        <v>46036.0</v>
      </c>
      <c r="C4" s="10" t="s">
        <v>40</v>
      </c>
      <c r="D4" s="10" t="s">
        <v>8</v>
      </c>
      <c r="E4" s="10" t="s">
        <v>6</v>
      </c>
      <c r="F4" s="10" t="s">
        <v>7</v>
      </c>
      <c r="G4" s="10" t="s">
        <v>38</v>
      </c>
      <c r="I4" s="13">
        <v>0.3958333333333333</v>
      </c>
      <c r="J4" s="13">
        <v>0.5763888888888888</v>
      </c>
      <c r="K4" s="10">
        <v>0.0</v>
      </c>
      <c r="O4" s="10">
        <v>0.0</v>
      </c>
      <c r="P4" s="10">
        <v>0.0</v>
      </c>
      <c r="Q4" s="14">
        <f t="shared" si="1"/>
        <v>46038</v>
      </c>
      <c r="R4" s="15">
        <f t="shared" si="2"/>
        <v>4.333333333</v>
      </c>
      <c r="S4" s="16">
        <f>IFERROR(__xludf.DUMMYFUNCTION("IFERROR( INDEX( FILTER( Reference!$F:$F, Reference!$A:$A = $E4, Reference!$E:$E = $D4, Reference!$C:$C = $Q4),1),""RATE_NOT_FOUND"")"),24.0)</f>
        <v>24</v>
      </c>
      <c r="T4" s="15">
        <f t="shared" si="3"/>
        <v>104</v>
      </c>
      <c r="U4" s="15">
        <f t="shared" si="4"/>
        <v>0</v>
      </c>
      <c r="V4" s="17">
        <f t="shared" si="5"/>
        <v>0</v>
      </c>
      <c r="W4" s="18" t="str">
        <f t="shared" si="6"/>
        <v>Wednesday</v>
      </c>
      <c r="X4" s="18">
        <f t="shared" si="7"/>
        <v>0</v>
      </c>
      <c r="Y4" s="14">
        <f>IFERROR(__xludf.DUMMYFUNCTION("IFERROR( INDEX( FILTER(Reference!$D:$D, Reference!$A:$A=$E4, Reference!$C:$C=$Q4), 1),"""")"),46038.0)</f>
        <v>46038</v>
      </c>
      <c r="Z4" s="18">
        <f t="shared" si="8"/>
        <v>9.083333333</v>
      </c>
      <c r="AA4" s="18">
        <f>IF(Z4=0,0, IF(Z4&gt;=LOOKUP(Q4,MinHr_Weekly_Bonus!A:A,MinHr_Weekly_Bonus!B:B), LOOKUP(Q4,MinHr_Weekly_Bonus!A:A,MinHr_Weekly_Bonus!C:C), 0))</f>
        <v>0</v>
      </c>
      <c r="AB4" s="15">
        <f t="shared" si="9"/>
        <v>104</v>
      </c>
      <c r="AC4" s="18" t="str">
        <f t="shared" si="10"/>
        <v/>
      </c>
    </row>
    <row r="5">
      <c r="A5" s="10" t="s">
        <v>36</v>
      </c>
      <c r="B5" s="12">
        <v>46036.0</v>
      </c>
      <c r="C5" s="10" t="s">
        <v>41</v>
      </c>
      <c r="D5" s="10" t="s">
        <v>8</v>
      </c>
      <c r="E5" s="10" t="s">
        <v>6</v>
      </c>
      <c r="F5" s="10" t="s">
        <v>7</v>
      </c>
      <c r="G5" s="10" t="s">
        <v>38</v>
      </c>
      <c r="I5" s="13">
        <v>0.3958333333333333</v>
      </c>
      <c r="J5" s="13">
        <v>0.5763888888888888</v>
      </c>
      <c r="K5" s="10">
        <v>0.0</v>
      </c>
      <c r="O5" s="10">
        <v>0.0</v>
      </c>
      <c r="P5" s="10">
        <v>0.0</v>
      </c>
      <c r="Q5" s="14">
        <f t="shared" si="1"/>
        <v>46038</v>
      </c>
      <c r="R5" s="15">
        <f t="shared" si="2"/>
        <v>4.333333333</v>
      </c>
      <c r="S5" s="16">
        <f>IFERROR(__xludf.DUMMYFUNCTION("IFERROR( INDEX( FILTER( Reference!$F:$F, Reference!$A:$A = $E5, Reference!$E:$E = $D5, Reference!$C:$C = $Q5),1),""RATE_NOT_FOUND"")"),24.0)</f>
        <v>24</v>
      </c>
      <c r="T5" s="15">
        <f t="shared" si="3"/>
        <v>104</v>
      </c>
      <c r="U5" s="15">
        <f t="shared" si="4"/>
        <v>0</v>
      </c>
      <c r="V5" s="17">
        <f t="shared" si="5"/>
        <v>0</v>
      </c>
      <c r="W5" s="18" t="str">
        <f t="shared" si="6"/>
        <v>Wednesday</v>
      </c>
      <c r="X5" s="18">
        <f t="shared" si="7"/>
        <v>0</v>
      </c>
      <c r="Y5" s="14">
        <f>IFERROR(__xludf.DUMMYFUNCTION("IFERROR( INDEX( FILTER(Reference!$D:$D, Reference!$A:$A=$E5, Reference!$C:$C=$Q5), 1),"""")"),46038.0)</f>
        <v>46038</v>
      </c>
      <c r="Z5" s="18">
        <f t="shared" si="8"/>
        <v>2.083333333</v>
      </c>
      <c r="AA5" s="18">
        <f>IF(Z5=0,0, IF(Z5&gt;=LOOKUP(Q5,MinHr_Weekly_Bonus!A:A,MinHr_Weekly_Bonus!B:B), LOOKUP(Q5,MinHr_Weekly_Bonus!A:A,MinHr_Weekly_Bonus!C:C), 0))</f>
        <v>0</v>
      </c>
      <c r="AB5" s="15">
        <f t="shared" si="9"/>
        <v>104</v>
      </c>
      <c r="AC5" s="18" t="str">
        <f t="shared" si="10"/>
        <v/>
      </c>
    </row>
    <row r="6">
      <c r="A6" s="10" t="s">
        <v>36</v>
      </c>
      <c r="B6" s="12">
        <v>46036.0</v>
      </c>
      <c r="C6" s="10" t="s">
        <v>42</v>
      </c>
      <c r="D6" s="10" t="s">
        <v>8</v>
      </c>
      <c r="E6" s="10" t="s">
        <v>6</v>
      </c>
      <c r="F6" s="10" t="s">
        <v>7</v>
      </c>
      <c r="G6" s="10" t="s">
        <v>38</v>
      </c>
      <c r="I6" s="13">
        <v>0.3958333333333333</v>
      </c>
      <c r="J6" s="13">
        <v>0.5763888888888888</v>
      </c>
      <c r="K6" s="10">
        <v>0.0</v>
      </c>
      <c r="O6" s="10">
        <v>0.0</v>
      </c>
      <c r="P6" s="10">
        <v>0.0</v>
      </c>
      <c r="Q6" s="14">
        <f t="shared" si="1"/>
        <v>46038</v>
      </c>
      <c r="R6" s="15">
        <f t="shared" si="2"/>
        <v>4.333333333</v>
      </c>
      <c r="S6" s="16">
        <f>IFERROR(__xludf.DUMMYFUNCTION("IFERROR( INDEX( FILTER( Reference!$F:$F, Reference!$A:$A = $E6, Reference!$E:$E = $D6, Reference!$C:$C = $Q6),1),""RATE_NOT_FOUND"")"),24.0)</f>
        <v>24</v>
      </c>
      <c r="T6" s="15">
        <f t="shared" si="3"/>
        <v>104</v>
      </c>
      <c r="U6" s="15">
        <f t="shared" si="4"/>
        <v>0</v>
      </c>
      <c r="V6" s="17">
        <f t="shared" si="5"/>
        <v>0</v>
      </c>
      <c r="W6" s="18" t="str">
        <f t="shared" si="6"/>
        <v>Wednesday</v>
      </c>
      <c r="X6" s="18">
        <f t="shared" si="7"/>
        <v>0</v>
      </c>
      <c r="Y6" s="14">
        <f>IFERROR(__xludf.DUMMYFUNCTION("IFERROR( INDEX( FILTER(Reference!$D:$D, Reference!$A:$A=$E6, Reference!$C:$C=$Q6), 1),"""")"),46038.0)</f>
        <v>46038</v>
      </c>
      <c r="Z6" s="18">
        <f t="shared" si="8"/>
        <v>9.75</v>
      </c>
      <c r="AA6" s="18">
        <f>IF(Z6=0,0, IF(Z6&gt;=LOOKUP(Q6,MinHr_Weekly_Bonus!A:A,MinHr_Weekly_Bonus!B:B), LOOKUP(Q6,MinHr_Weekly_Bonus!A:A,MinHr_Weekly_Bonus!C:C), 0))</f>
        <v>0</v>
      </c>
      <c r="AB6" s="15">
        <f t="shared" si="9"/>
        <v>104</v>
      </c>
      <c r="AC6" s="18" t="str">
        <f t="shared" si="10"/>
        <v/>
      </c>
    </row>
    <row r="7">
      <c r="A7" s="10" t="s">
        <v>36</v>
      </c>
      <c r="B7" s="12">
        <v>46036.0</v>
      </c>
      <c r="C7" s="10" t="s">
        <v>43</v>
      </c>
      <c r="D7" s="10" t="s">
        <v>8</v>
      </c>
      <c r="E7" s="10" t="s">
        <v>6</v>
      </c>
      <c r="F7" s="10" t="s">
        <v>7</v>
      </c>
      <c r="G7" s="10" t="s">
        <v>38</v>
      </c>
      <c r="I7" s="13">
        <v>0.3958333333333333</v>
      </c>
      <c r="J7" s="13">
        <v>0.5763888888888888</v>
      </c>
      <c r="K7" s="10">
        <v>0.0</v>
      </c>
      <c r="O7" s="10">
        <v>0.0</v>
      </c>
      <c r="P7" s="10">
        <v>0.0</v>
      </c>
      <c r="Q7" s="14">
        <f t="shared" si="1"/>
        <v>46038</v>
      </c>
      <c r="R7" s="15">
        <f t="shared" si="2"/>
        <v>4.333333333</v>
      </c>
      <c r="S7" s="16">
        <f>IFERROR(__xludf.DUMMYFUNCTION("IFERROR( INDEX( FILTER( Reference!$F:$F, Reference!$A:$A = $E7, Reference!$E:$E = $D7, Reference!$C:$C = $Q7),1),""RATE_NOT_FOUND"")"),24.0)</f>
        <v>24</v>
      </c>
      <c r="T7" s="15">
        <f t="shared" si="3"/>
        <v>104</v>
      </c>
      <c r="U7" s="15">
        <f t="shared" si="4"/>
        <v>0</v>
      </c>
      <c r="V7" s="17">
        <f t="shared" si="5"/>
        <v>0</v>
      </c>
      <c r="W7" s="18" t="str">
        <f t="shared" si="6"/>
        <v>Wednesday</v>
      </c>
      <c r="X7" s="18">
        <f t="shared" si="7"/>
        <v>0</v>
      </c>
      <c r="Y7" s="14">
        <f>IFERROR(__xludf.DUMMYFUNCTION("IFERROR( INDEX( FILTER(Reference!$D:$D, Reference!$A:$A=$E7, Reference!$C:$C=$Q7), 1),"""")"),46038.0)</f>
        <v>46038</v>
      </c>
      <c r="Z7" s="18">
        <f t="shared" si="8"/>
        <v>4.916666667</v>
      </c>
      <c r="AA7" s="18">
        <f>IF(Z7=0,0, IF(Z7&gt;=LOOKUP(Q7,MinHr_Weekly_Bonus!A:A,MinHr_Weekly_Bonus!B:B), LOOKUP(Q7,MinHr_Weekly_Bonus!A:A,MinHr_Weekly_Bonus!C:C), 0))</f>
        <v>0</v>
      </c>
      <c r="AB7" s="15">
        <f t="shared" si="9"/>
        <v>104</v>
      </c>
      <c r="AC7" s="18" t="str">
        <f t="shared" si="10"/>
        <v/>
      </c>
    </row>
    <row r="8">
      <c r="A8" s="10" t="s">
        <v>36</v>
      </c>
      <c r="B8" s="12">
        <v>46037.0</v>
      </c>
      <c r="C8" s="10" t="s">
        <v>43</v>
      </c>
      <c r="D8" s="10" t="s">
        <v>9</v>
      </c>
      <c r="E8" s="10" t="s">
        <v>6</v>
      </c>
      <c r="F8" s="10" t="s">
        <v>7</v>
      </c>
      <c r="G8" s="10" t="s">
        <v>44</v>
      </c>
      <c r="H8" s="10" t="s">
        <v>43</v>
      </c>
      <c r="I8" s="13">
        <v>0.4444444444444444</v>
      </c>
      <c r="J8" s="13">
        <v>0.7743055555555556</v>
      </c>
      <c r="K8" s="10">
        <v>30.0</v>
      </c>
      <c r="L8" s="13">
        <v>0.4895833333333333</v>
      </c>
      <c r="M8" s="13">
        <v>0.7291666666666666</v>
      </c>
      <c r="N8" s="10">
        <v>50.0</v>
      </c>
      <c r="O8" s="10">
        <v>1.0</v>
      </c>
      <c r="P8" s="10">
        <v>94.0</v>
      </c>
      <c r="Q8" s="14">
        <f t="shared" si="1"/>
        <v>46038</v>
      </c>
      <c r="R8" s="15">
        <f t="shared" si="2"/>
        <v>7.416666667</v>
      </c>
      <c r="S8" s="16">
        <f>IFERROR(__xludf.DUMMYFUNCTION("IFERROR( INDEX( FILTER( Reference!$F:$F, Reference!$A:$A = $E8, Reference!$E:$E = $D8, Reference!$C:$C = $Q8),1),""RATE_NOT_FOUND"")"),26.0)</f>
        <v>26</v>
      </c>
      <c r="T8" s="15">
        <f t="shared" si="3"/>
        <v>192.8333333</v>
      </c>
      <c r="U8" s="15">
        <f t="shared" si="4"/>
        <v>4.916666667</v>
      </c>
      <c r="V8" s="17">
        <f t="shared" si="5"/>
        <v>19.11864407</v>
      </c>
      <c r="W8" s="18" t="str">
        <f t="shared" si="6"/>
        <v>Thursday</v>
      </c>
      <c r="X8" s="18">
        <f t="shared" si="7"/>
        <v>0</v>
      </c>
      <c r="Y8" s="14">
        <f>IFERROR(__xludf.DUMMYFUNCTION("IFERROR( INDEX( FILTER(Reference!$D:$D, Reference!$A:$A=$E8, Reference!$C:$C=$Q8), 1),"""")"),46038.0)</f>
        <v>46038</v>
      </c>
      <c r="Z8" s="18">
        <f t="shared" si="8"/>
        <v>4.916666667</v>
      </c>
      <c r="AA8" s="18">
        <f>IF(Z8=0,0, IF(Z8&gt;=LOOKUP(Q8,MinHr_Weekly_Bonus!A:A,MinHr_Weekly_Bonus!B:B), LOOKUP(Q8,MinHr_Weekly_Bonus!A:A,MinHr_Weekly_Bonus!C:C), 0))</f>
        <v>0</v>
      </c>
      <c r="AB8" s="15">
        <f t="shared" si="9"/>
        <v>192.8333333</v>
      </c>
      <c r="AC8" s="18" t="str">
        <f t="shared" si="10"/>
        <v/>
      </c>
    </row>
    <row r="9">
      <c r="A9" s="10" t="s">
        <v>36</v>
      </c>
      <c r="B9" s="12">
        <v>46037.0</v>
      </c>
      <c r="C9" s="10" t="s">
        <v>45</v>
      </c>
      <c r="D9" s="10" t="s">
        <v>8</v>
      </c>
      <c r="E9" s="10" t="s">
        <v>6</v>
      </c>
      <c r="F9" s="10" t="s">
        <v>7</v>
      </c>
      <c r="G9" s="10" t="s">
        <v>44</v>
      </c>
      <c r="H9" s="10" t="s">
        <v>43</v>
      </c>
      <c r="I9" s="13">
        <v>0.3958333333333333</v>
      </c>
      <c r="J9" s="13">
        <v>0.7638888888888888</v>
      </c>
      <c r="K9" s="10">
        <v>30.0</v>
      </c>
      <c r="L9" s="13">
        <v>0.4895833333333333</v>
      </c>
      <c r="M9" s="13">
        <v>0.7291666666666666</v>
      </c>
      <c r="N9" s="10">
        <v>50.0</v>
      </c>
      <c r="O9" s="10">
        <v>1.0</v>
      </c>
      <c r="P9" s="10">
        <v>89.0</v>
      </c>
      <c r="Q9" s="14">
        <f t="shared" si="1"/>
        <v>46038</v>
      </c>
      <c r="R9" s="15">
        <f t="shared" si="2"/>
        <v>8.333333333</v>
      </c>
      <c r="S9" s="16">
        <f>IFERROR(__xludf.DUMMYFUNCTION("IFERROR( INDEX( FILTER( Reference!$F:$F, Reference!$A:$A = $E9, Reference!$E:$E = $D9, Reference!$C:$C = $Q9),1),""RATE_NOT_FOUND"")"),24.0)</f>
        <v>24</v>
      </c>
      <c r="T9" s="15">
        <f t="shared" si="3"/>
        <v>200</v>
      </c>
      <c r="U9" s="15">
        <f t="shared" si="4"/>
        <v>4.916666667</v>
      </c>
      <c r="V9" s="17">
        <f t="shared" si="5"/>
        <v>18.10169492</v>
      </c>
      <c r="W9" s="18" t="str">
        <f t="shared" si="6"/>
        <v>Thursday</v>
      </c>
      <c r="X9" s="18">
        <f t="shared" si="7"/>
        <v>0</v>
      </c>
      <c r="Y9" s="14">
        <f>IFERROR(__xludf.DUMMYFUNCTION("IFERROR( INDEX( FILTER(Reference!$D:$D, Reference!$A:$A=$E9, Reference!$C:$C=$Q9), 1),"""")"),46038.0)</f>
        <v>46038</v>
      </c>
      <c r="Z9" s="18">
        <f t="shared" si="8"/>
        <v>9.25</v>
      </c>
      <c r="AA9" s="18">
        <f>IF(Z9=0,0, IF(Z9&gt;=LOOKUP(Q9,MinHr_Weekly_Bonus!A:A,MinHr_Weekly_Bonus!B:B), LOOKUP(Q9,MinHr_Weekly_Bonus!A:A,MinHr_Weekly_Bonus!C:C), 0))</f>
        <v>0</v>
      </c>
      <c r="AB9" s="15">
        <f t="shared" si="9"/>
        <v>200</v>
      </c>
      <c r="AC9" s="18" t="str">
        <f t="shared" si="10"/>
        <v/>
      </c>
    </row>
    <row r="10">
      <c r="A10" s="10" t="s">
        <v>36</v>
      </c>
      <c r="B10" s="12">
        <v>46037.0</v>
      </c>
      <c r="C10" s="10" t="s">
        <v>39</v>
      </c>
      <c r="D10" s="10" t="s">
        <v>8</v>
      </c>
      <c r="E10" s="10" t="s">
        <v>6</v>
      </c>
      <c r="F10" s="10" t="s">
        <v>7</v>
      </c>
      <c r="G10" s="10" t="s">
        <v>44</v>
      </c>
      <c r="H10" s="10" t="s">
        <v>43</v>
      </c>
      <c r="I10" s="13">
        <v>0.4270833333333333</v>
      </c>
      <c r="J10" s="13">
        <v>0.7673611111111112</v>
      </c>
      <c r="K10" s="10">
        <v>30.0</v>
      </c>
      <c r="L10" s="13">
        <v>0.4895833333333333</v>
      </c>
      <c r="M10" s="13">
        <v>0.7291666666666666</v>
      </c>
      <c r="N10" s="10">
        <v>50.0</v>
      </c>
      <c r="O10" s="10">
        <v>1.0</v>
      </c>
      <c r="P10" s="10">
        <v>98.0</v>
      </c>
      <c r="Q10" s="14">
        <f t="shared" si="1"/>
        <v>46038</v>
      </c>
      <c r="R10" s="15">
        <f t="shared" si="2"/>
        <v>7.666666667</v>
      </c>
      <c r="S10" s="16">
        <f>IFERROR(__xludf.DUMMYFUNCTION("IFERROR( INDEX( FILTER( Reference!$F:$F, Reference!$A:$A = $E10, Reference!$E:$E = $D10, Reference!$C:$C = $Q10),1),""RATE_NOT_FOUND"")"),24.0)</f>
        <v>24</v>
      </c>
      <c r="T10" s="15">
        <f t="shared" si="3"/>
        <v>184</v>
      </c>
      <c r="U10" s="15">
        <f t="shared" si="4"/>
        <v>4.916666667</v>
      </c>
      <c r="V10" s="17">
        <f t="shared" si="5"/>
        <v>19.93220339</v>
      </c>
      <c r="W10" s="18" t="str">
        <f t="shared" si="6"/>
        <v>Thursday</v>
      </c>
      <c r="X10" s="18">
        <f t="shared" si="7"/>
        <v>0</v>
      </c>
      <c r="Y10" s="14">
        <f>IFERROR(__xludf.DUMMYFUNCTION("IFERROR( INDEX( FILTER(Reference!$D:$D, Reference!$A:$A=$E10, Reference!$C:$C=$Q10), 1),"""")"),46038.0)</f>
        <v>46038</v>
      </c>
      <c r="Z10" s="18">
        <f t="shared" si="8"/>
        <v>9.833333333</v>
      </c>
      <c r="AA10" s="18">
        <f>IF(Z10=0,0, IF(Z10&gt;=LOOKUP(Q10,MinHr_Weekly_Bonus!A:A,MinHr_Weekly_Bonus!B:B), LOOKUP(Q10,MinHr_Weekly_Bonus!A:A,MinHr_Weekly_Bonus!C:C), 0))</f>
        <v>0</v>
      </c>
      <c r="AB10" s="15">
        <f t="shared" si="9"/>
        <v>184</v>
      </c>
      <c r="AC10" s="18" t="str">
        <f t="shared" si="10"/>
        <v/>
      </c>
    </row>
    <row r="11">
      <c r="A11" s="10" t="s">
        <v>36</v>
      </c>
      <c r="B11" s="12">
        <v>46037.0</v>
      </c>
      <c r="C11" s="10" t="s">
        <v>40</v>
      </c>
      <c r="D11" s="10" t="s">
        <v>9</v>
      </c>
      <c r="E11" s="10" t="s">
        <v>6</v>
      </c>
      <c r="F11" s="10" t="s">
        <v>7</v>
      </c>
      <c r="G11" s="10" t="s">
        <v>44</v>
      </c>
      <c r="H11" s="10" t="s">
        <v>40</v>
      </c>
      <c r="I11" s="13">
        <v>0.4479166666666667</v>
      </c>
      <c r="J11" s="13">
        <v>0.7590277777777777</v>
      </c>
      <c r="K11" s="10">
        <v>30.0</v>
      </c>
      <c r="L11" s="13">
        <v>0.4930555555555556</v>
      </c>
      <c r="M11" s="13">
        <v>0.7256944444444444</v>
      </c>
      <c r="N11" s="10">
        <v>50.0</v>
      </c>
      <c r="O11" s="10">
        <v>1.0</v>
      </c>
      <c r="P11" s="10">
        <v>64.0</v>
      </c>
      <c r="Q11" s="14">
        <f t="shared" si="1"/>
        <v>46038</v>
      </c>
      <c r="R11" s="15">
        <f t="shared" si="2"/>
        <v>6.966666667</v>
      </c>
      <c r="S11" s="16">
        <f>IFERROR(__xludf.DUMMYFUNCTION("IFERROR( INDEX( FILTER( Reference!$F:$F, Reference!$A:$A = $E11, Reference!$E:$E = $D11, Reference!$C:$C = $Q11),1),""RATE_NOT_FOUND"")"),26.0)</f>
        <v>26</v>
      </c>
      <c r="T11" s="15">
        <f t="shared" si="3"/>
        <v>181.1333333</v>
      </c>
      <c r="U11" s="15">
        <f t="shared" si="4"/>
        <v>4.75</v>
      </c>
      <c r="V11" s="17">
        <f t="shared" si="5"/>
        <v>13.47368421</v>
      </c>
      <c r="W11" s="18" t="str">
        <f t="shared" si="6"/>
        <v>Thursday</v>
      </c>
      <c r="X11" s="18">
        <f t="shared" si="7"/>
        <v>0</v>
      </c>
      <c r="Y11" s="14">
        <f>IFERROR(__xludf.DUMMYFUNCTION("IFERROR( INDEX( FILTER(Reference!$D:$D, Reference!$A:$A=$E11, Reference!$C:$C=$Q11), 1),"""")"),46038.0)</f>
        <v>46038</v>
      </c>
      <c r="Z11" s="18">
        <f t="shared" si="8"/>
        <v>9.083333333</v>
      </c>
      <c r="AA11" s="18">
        <f>IF(Z11=0,0, IF(Z11&gt;=LOOKUP(Q11,MinHr_Weekly_Bonus!A:A,MinHr_Weekly_Bonus!B:B), LOOKUP(Q11,MinHr_Weekly_Bonus!A:A,MinHr_Weekly_Bonus!C:C), 0))</f>
        <v>0</v>
      </c>
      <c r="AB11" s="15">
        <f t="shared" si="9"/>
        <v>181.1333333</v>
      </c>
      <c r="AC11" s="18" t="str">
        <f t="shared" si="10"/>
        <v/>
      </c>
    </row>
    <row r="12">
      <c r="A12" s="10" t="s">
        <v>36</v>
      </c>
      <c r="B12" s="12">
        <v>46037.0</v>
      </c>
      <c r="C12" s="10" t="s">
        <v>46</v>
      </c>
      <c r="D12" s="10" t="s">
        <v>8</v>
      </c>
      <c r="E12" s="10" t="s">
        <v>6</v>
      </c>
      <c r="F12" s="10" t="s">
        <v>7</v>
      </c>
      <c r="G12" s="10" t="s">
        <v>44</v>
      </c>
      <c r="H12" s="10" t="s">
        <v>40</v>
      </c>
      <c r="I12" s="13">
        <v>0.3958333333333333</v>
      </c>
      <c r="J12" s="13">
        <v>0.7743055555555556</v>
      </c>
      <c r="K12" s="10">
        <v>30.0</v>
      </c>
      <c r="L12" s="13">
        <v>0.4861111111111111</v>
      </c>
      <c r="M12" s="13">
        <v>0.7291666666666666</v>
      </c>
      <c r="N12" s="10">
        <v>50.0</v>
      </c>
      <c r="O12" s="10">
        <v>1.0</v>
      </c>
      <c r="P12" s="10">
        <v>105.0</v>
      </c>
      <c r="Q12" s="14">
        <f t="shared" si="1"/>
        <v>46038</v>
      </c>
      <c r="R12" s="15">
        <f t="shared" si="2"/>
        <v>8.583333333</v>
      </c>
      <c r="S12" s="16">
        <f>IFERROR(__xludf.DUMMYFUNCTION("IFERROR( INDEX( FILTER( Reference!$F:$F, Reference!$A:$A = $E12, Reference!$E:$E = $D12, Reference!$C:$C = $Q12),1),""RATE_NOT_FOUND"")"),24.0)</f>
        <v>24</v>
      </c>
      <c r="T12" s="15">
        <f t="shared" si="3"/>
        <v>206</v>
      </c>
      <c r="U12" s="15">
        <f t="shared" si="4"/>
        <v>5</v>
      </c>
      <c r="V12" s="17">
        <f t="shared" si="5"/>
        <v>21</v>
      </c>
      <c r="W12" s="18" t="str">
        <f t="shared" si="6"/>
        <v>Thursday</v>
      </c>
      <c r="X12" s="18">
        <f t="shared" si="7"/>
        <v>0</v>
      </c>
      <c r="Y12" s="14">
        <f>IFERROR(__xludf.DUMMYFUNCTION("IFERROR( INDEX( FILTER(Reference!$D:$D, Reference!$A:$A=$E12, Reference!$C:$C=$Q12), 1),"""")"),46038.0)</f>
        <v>46038</v>
      </c>
      <c r="Z12" s="18">
        <f t="shared" si="8"/>
        <v>5</v>
      </c>
      <c r="AA12" s="18">
        <f>IF(Z12=0,0, IF(Z12&gt;=LOOKUP(Q12,MinHr_Weekly_Bonus!A:A,MinHr_Weekly_Bonus!B:B), LOOKUP(Q12,MinHr_Weekly_Bonus!A:A,MinHr_Weekly_Bonus!C:C), 0))</f>
        <v>0</v>
      </c>
      <c r="AB12" s="15">
        <f t="shared" si="9"/>
        <v>206</v>
      </c>
      <c r="AC12" s="18" t="str">
        <f t="shared" si="10"/>
        <v/>
      </c>
    </row>
    <row r="13">
      <c r="A13" s="10" t="s">
        <v>36</v>
      </c>
      <c r="B13" s="12">
        <v>46037.0</v>
      </c>
      <c r="C13" s="10" t="s">
        <v>37</v>
      </c>
      <c r="D13" s="10" t="s">
        <v>8</v>
      </c>
      <c r="E13" s="10" t="s">
        <v>6</v>
      </c>
      <c r="F13" s="10" t="s">
        <v>7</v>
      </c>
      <c r="G13" s="10" t="s">
        <v>44</v>
      </c>
      <c r="H13" s="10" t="s">
        <v>40</v>
      </c>
      <c r="I13" s="13">
        <v>0.4270833333333333</v>
      </c>
      <c r="J13" s="13">
        <v>0.76875</v>
      </c>
      <c r="K13" s="10">
        <v>30.0</v>
      </c>
      <c r="L13" s="13">
        <v>0.5</v>
      </c>
      <c r="M13" s="13">
        <v>0.7291666666666666</v>
      </c>
      <c r="N13" s="10">
        <v>50.0</v>
      </c>
      <c r="O13" s="10">
        <v>1.0</v>
      </c>
      <c r="P13" s="10">
        <v>75.0</v>
      </c>
      <c r="Q13" s="14">
        <f t="shared" si="1"/>
        <v>46038</v>
      </c>
      <c r="R13" s="15">
        <f t="shared" si="2"/>
        <v>7.7</v>
      </c>
      <c r="S13" s="16">
        <f>IFERROR(__xludf.DUMMYFUNCTION("IFERROR( INDEX( FILTER( Reference!$F:$F, Reference!$A:$A = $E13, Reference!$E:$E = $D13, Reference!$C:$C = $Q13),1),""RATE_NOT_FOUND"")"),24.0)</f>
        <v>24</v>
      </c>
      <c r="T13" s="15">
        <f t="shared" si="3"/>
        <v>184.8</v>
      </c>
      <c r="U13" s="15">
        <f t="shared" si="4"/>
        <v>4.666666667</v>
      </c>
      <c r="V13" s="17">
        <f t="shared" si="5"/>
        <v>16.07142857</v>
      </c>
      <c r="W13" s="18" t="str">
        <f t="shared" si="6"/>
        <v>Thursday</v>
      </c>
      <c r="X13" s="18">
        <f t="shared" si="7"/>
        <v>0</v>
      </c>
      <c r="Y13" s="14">
        <f>IFERROR(__xludf.DUMMYFUNCTION("IFERROR( INDEX( FILTER(Reference!$D:$D, Reference!$A:$A=$E13, Reference!$C:$C=$Q13), 1),"""")"),46038.0)</f>
        <v>46038</v>
      </c>
      <c r="Z13" s="18">
        <f t="shared" si="8"/>
        <v>9.583333333</v>
      </c>
      <c r="AA13" s="18">
        <f>IF(Z13=0,0, IF(Z13&gt;=LOOKUP(Q13,MinHr_Weekly_Bonus!A:A,MinHr_Weekly_Bonus!B:B), LOOKUP(Q13,MinHr_Weekly_Bonus!A:A,MinHr_Weekly_Bonus!C:C), 0))</f>
        <v>0</v>
      </c>
      <c r="AB13" s="15">
        <f t="shared" si="9"/>
        <v>184.8</v>
      </c>
      <c r="AC13" s="18" t="str">
        <f t="shared" si="10"/>
        <v/>
      </c>
    </row>
    <row r="14">
      <c r="A14" s="10" t="s">
        <v>36</v>
      </c>
      <c r="B14" s="12">
        <v>46037.0</v>
      </c>
      <c r="C14" s="10" t="s">
        <v>42</v>
      </c>
      <c r="D14" s="10" t="s">
        <v>9</v>
      </c>
      <c r="E14" s="10" t="s">
        <v>6</v>
      </c>
      <c r="F14" s="10" t="s">
        <v>7</v>
      </c>
      <c r="G14" s="10" t="s">
        <v>44</v>
      </c>
      <c r="H14" s="10" t="s">
        <v>42</v>
      </c>
      <c r="I14" s="13">
        <v>0.4270833333333333</v>
      </c>
      <c r="J14" s="13">
        <v>0.7534722222222222</v>
      </c>
      <c r="K14" s="10">
        <v>30.0</v>
      </c>
      <c r="L14" s="13">
        <v>0.5</v>
      </c>
      <c r="M14" s="13">
        <v>0.7291666666666666</v>
      </c>
      <c r="N14" s="10">
        <v>50.0</v>
      </c>
      <c r="O14" s="10">
        <v>1.0</v>
      </c>
      <c r="P14" s="10">
        <v>95.0</v>
      </c>
      <c r="Q14" s="14">
        <f t="shared" si="1"/>
        <v>46038</v>
      </c>
      <c r="R14" s="15">
        <f t="shared" si="2"/>
        <v>7.333333333</v>
      </c>
      <c r="S14" s="16">
        <f>IFERROR(__xludf.DUMMYFUNCTION("IFERROR( INDEX( FILTER( Reference!$F:$F, Reference!$A:$A = $E14, Reference!$E:$E = $D14, Reference!$C:$C = $Q14),1),""RATE_NOT_FOUND"")"),26.0)</f>
        <v>26</v>
      </c>
      <c r="T14" s="15">
        <f t="shared" si="3"/>
        <v>190.6666667</v>
      </c>
      <c r="U14" s="15">
        <f t="shared" si="4"/>
        <v>4.666666667</v>
      </c>
      <c r="V14" s="17">
        <f t="shared" si="5"/>
        <v>20.35714286</v>
      </c>
      <c r="W14" s="18" t="str">
        <f t="shared" si="6"/>
        <v>Thursday</v>
      </c>
      <c r="X14" s="18">
        <f t="shared" si="7"/>
        <v>0</v>
      </c>
      <c r="Y14" s="14">
        <f>IFERROR(__xludf.DUMMYFUNCTION("IFERROR( INDEX( FILTER(Reference!$D:$D, Reference!$A:$A=$E14, Reference!$C:$C=$Q14), 1),"""")"),46038.0)</f>
        <v>46038</v>
      </c>
      <c r="Z14" s="18">
        <f t="shared" si="8"/>
        <v>9.75</v>
      </c>
      <c r="AA14" s="18">
        <f>IF(Z14=0,0, IF(Z14&gt;=LOOKUP(Q14,MinHr_Weekly_Bonus!A:A,MinHr_Weekly_Bonus!B:B), LOOKUP(Q14,MinHr_Weekly_Bonus!A:A,MinHr_Weekly_Bonus!C:C), 0))</f>
        <v>0</v>
      </c>
      <c r="AB14" s="15">
        <f t="shared" si="9"/>
        <v>190.6666667</v>
      </c>
      <c r="AC14" s="18" t="str">
        <f t="shared" si="10"/>
        <v/>
      </c>
    </row>
    <row r="15">
      <c r="A15" s="10" t="s">
        <v>36</v>
      </c>
      <c r="B15" s="12">
        <v>46037.0</v>
      </c>
      <c r="C15" s="10" t="s">
        <v>47</v>
      </c>
      <c r="D15" s="10" t="s">
        <v>8</v>
      </c>
      <c r="E15" s="10" t="s">
        <v>6</v>
      </c>
      <c r="F15" s="10" t="s">
        <v>7</v>
      </c>
      <c r="G15" s="10" t="s">
        <v>44</v>
      </c>
      <c r="H15" s="10" t="s">
        <v>42</v>
      </c>
      <c r="I15" s="13">
        <v>0.3958333333333333</v>
      </c>
      <c r="J15" s="13">
        <v>0.7604166666666666</v>
      </c>
      <c r="K15" s="10">
        <v>30.0</v>
      </c>
      <c r="L15" s="13">
        <v>0.4791666666666667</v>
      </c>
      <c r="M15" s="13">
        <v>0.7291666666666666</v>
      </c>
      <c r="N15" s="10">
        <v>50.0</v>
      </c>
      <c r="O15" s="10">
        <v>1.0</v>
      </c>
      <c r="P15" s="10">
        <v>55.0</v>
      </c>
      <c r="Q15" s="14">
        <f t="shared" si="1"/>
        <v>46038</v>
      </c>
      <c r="R15" s="15">
        <f t="shared" si="2"/>
        <v>8.25</v>
      </c>
      <c r="S15" s="16">
        <f>IFERROR(__xludf.DUMMYFUNCTION("IFERROR( INDEX( FILTER( Reference!$F:$F, Reference!$A:$A = $E15, Reference!$E:$E = $D15, Reference!$C:$C = $Q15),1),""RATE_NOT_FOUND"")"),24.0)</f>
        <v>24</v>
      </c>
      <c r="T15" s="15">
        <f t="shared" si="3"/>
        <v>198</v>
      </c>
      <c r="U15" s="15">
        <f t="shared" si="4"/>
        <v>5.166666667</v>
      </c>
      <c r="V15" s="17">
        <f t="shared" si="5"/>
        <v>10.64516129</v>
      </c>
      <c r="W15" s="18" t="str">
        <f t="shared" si="6"/>
        <v>Thursday</v>
      </c>
      <c r="X15" s="18">
        <f t="shared" si="7"/>
        <v>0</v>
      </c>
      <c r="Y15" s="14">
        <f>IFERROR(__xludf.DUMMYFUNCTION("IFERROR( INDEX( FILTER(Reference!$D:$D, Reference!$A:$A=$E15, Reference!$C:$C=$Q15), 1),"""")"),46038.0)</f>
        <v>46038</v>
      </c>
      <c r="Z15" s="18">
        <f t="shared" si="8"/>
        <v>10.08333333</v>
      </c>
      <c r="AA15" s="18">
        <f>IF(Z15=0,0, IF(Z15&gt;=LOOKUP(Q15,MinHr_Weekly_Bonus!A:A,MinHr_Weekly_Bonus!B:B), LOOKUP(Q15,MinHr_Weekly_Bonus!A:A,MinHr_Weekly_Bonus!C:C), 0))</f>
        <v>0</v>
      </c>
      <c r="AB15" s="15">
        <f t="shared" si="9"/>
        <v>198</v>
      </c>
      <c r="AC15" s="18" t="str">
        <f t="shared" si="10"/>
        <v/>
      </c>
    </row>
    <row r="16">
      <c r="A16" s="10" t="s">
        <v>36</v>
      </c>
      <c r="B16" s="12">
        <v>46037.0</v>
      </c>
      <c r="C16" s="10" t="s">
        <v>41</v>
      </c>
      <c r="D16" s="10" t="s">
        <v>8</v>
      </c>
      <c r="E16" s="10" t="s">
        <v>6</v>
      </c>
      <c r="F16" s="10" t="s">
        <v>7</v>
      </c>
      <c r="G16" s="10" t="s">
        <v>44</v>
      </c>
      <c r="H16" s="10" t="s">
        <v>42</v>
      </c>
      <c r="I16" s="13">
        <v>0.4270833333333333</v>
      </c>
      <c r="J16" s="13">
        <v>0.5833333333333334</v>
      </c>
      <c r="K16" s="10">
        <v>0.0</v>
      </c>
      <c r="L16" s="13">
        <v>0.4791666666666667</v>
      </c>
      <c r="M16" s="13">
        <v>0.5729166666666666</v>
      </c>
      <c r="N16" s="10">
        <v>10.0</v>
      </c>
      <c r="O16" s="10">
        <v>1.0</v>
      </c>
      <c r="P16" s="10">
        <v>96.0</v>
      </c>
      <c r="Q16" s="14">
        <f t="shared" si="1"/>
        <v>46038</v>
      </c>
      <c r="R16" s="15">
        <f t="shared" si="2"/>
        <v>3.75</v>
      </c>
      <c r="S16" s="16">
        <f>IFERROR(__xludf.DUMMYFUNCTION("IFERROR( INDEX( FILTER( Reference!$F:$F, Reference!$A:$A = $E16, Reference!$E:$E = $D16, Reference!$C:$C = $Q16),1),""RATE_NOT_FOUND"")"),24.0)</f>
        <v>24</v>
      </c>
      <c r="T16" s="15">
        <f t="shared" si="3"/>
        <v>90</v>
      </c>
      <c r="U16" s="15">
        <f t="shared" si="4"/>
        <v>2.083333333</v>
      </c>
      <c r="V16" s="17">
        <f t="shared" si="5"/>
        <v>46.08</v>
      </c>
      <c r="W16" s="18" t="str">
        <f t="shared" si="6"/>
        <v>Thursday</v>
      </c>
      <c r="X16" s="18">
        <f t="shared" si="7"/>
        <v>0</v>
      </c>
      <c r="Y16" s="14">
        <f>IFERROR(__xludf.DUMMYFUNCTION("IFERROR( INDEX( FILTER(Reference!$D:$D, Reference!$A:$A=$E16, Reference!$C:$C=$Q16), 1),"""")"),46038.0)</f>
        <v>46038</v>
      </c>
      <c r="Z16" s="18">
        <f t="shared" si="8"/>
        <v>2.083333333</v>
      </c>
      <c r="AA16" s="18">
        <f>IF(Z16=0,0, IF(Z16&gt;=LOOKUP(Q16,MinHr_Weekly_Bonus!A:A,MinHr_Weekly_Bonus!B:B), LOOKUP(Q16,MinHr_Weekly_Bonus!A:A,MinHr_Weekly_Bonus!C:C), 0))</f>
        <v>0</v>
      </c>
      <c r="AB16" s="15">
        <f t="shared" si="9"/>
        <v>90</v>
      </c>
      <c r="AC16" s="18" t="str">
        <f t="shared" si="10"/>
        <v/>
      </c>
    </row>
    <row r="17">
      <c r="A17" s="10" t="s">
        <v>36</v>
      </c>
      <c r="B17" s="12">
        <v>46038.0</v>
      </c>
      <c r="C17" s="10" t="s">
        <v>48</v>
      </c>
      <c r="D17" s="10" t="s">
        <v>8</v>
      </c>
      <c r="E17" s="10" t="s">
        <v>6</v>
      </c>
      <c r="F17" s="10" t="s">
        <v>7</v>
      </c>
      <c r="G17" s="10" t="s">
        <v>44</v>
      </c>
      <c r="H17" s="10" t="s">
        <v>42</v>
      </c>
      <c r="I17" s="13">
        <v>0.3958333333333333</v>
      </c>
      <c r="J17" s="13">
        <v>0.7847222222222222</v>
      </c>
      <c r="K17" s="10">
        <v>30.0</v>
      </c>
      <c r="L17" s="13">
        <v>0.4826388888888889</v>
      </c>
      <c r="M17" s="13">
        <v>0.7291666666666666</v>
      </c>
      <c r="N17" s="10">
        <v>50.0</v>
      </c>
      <c r="O17" s="10">
        <v>1.0</v>
      </c>
      <c r="P17" s="10">
        <v>115.0</v>
      </c>
      <c r="Q17" s="14">
        <f t="shared" si="1"/>
        <v>46038</v>
      </c>
      <c r="R17" s="15">
        <f t="shared" si="2"/>
        <v>8.833333333</v>
      </c>
      <c r="S17" s="16">
        <f>IFERROR(__xludf.DUMMYFUNCTION("IFERROR( INDEX( FILTER( Reference!$F:$F, Reference!$A:$A = $E17, Reference!$E:$E = $D17, Reference!$C:$C = $Q17),1),""RATE_NOT_FOUND"")"),24.0)</f>
        <v>24</v>
      </c>
      <c r="T17" s="15">
        <f t="shared" si="3"/>
        <v>212</v>
      </c>
      <c r="U17" s="15">
        <f t="shared" si="4"/>
        <v>5.083333333</v>
      </c>
      <c r="V17" s="17">
        <f t="shared" si="5"/>
        <v>22.62295082</v>
      </c>
      <c r="W17" s="18" t="str">
        <f t="shared" si="6"/>
        <v>Friday</v>
      </c>
      <c r="X17" s="18">
        <f t="shared" si="7"/>
        <v>50</v>
      </c>
      <c r="Y17" s="14">
        <f>IFERROR(__xludf.DUMMYFUNCTION("IFERROR( INDEX( FILTER(Reference!$D:$D, Reference!$A:$A=$E17, Reference!$C:$C=$Q17), 1),"""")"),46038.0)</f>
        <v>46038</v>
      </c>
      <c r="Z17" s="18">
        <f t="shared" si="8"/>
        <v>5.083333333</v>
      </c>
      <c r="AA17" s="18">
        <f>IF(Z17=0,0, IF(Z17&gt;=LOOKUP(Q17,MinHr_Weekly_Bonus!A:A,MinHr_Weekly_Bonus!B:B), LOOKUP(Q17,MinHr_Weekly_Bonus!A:A,MinHr_Weekly_Bonus!C:C), 0))</f>
        <v>0</v>
      </c>
      <c r="AB17" s="15">
        <f t="shared" si="9"/>
        <v>262</v>
      </c>
      <c r="AC17" s="18" t="str">
        <f t="shared" si="10"/>
        <v/>
      </c>
    </row>
    <row r="18">
      <c r="A18" s="10" t="s">
        <v>36</v>
      </c>
      <c r="B18" s="12">
        <v>46038.0</v>
      </c>
      <c r="C18" s="10" t="s">
        <v>42</v>
      </c>
      <c r="D18" s="10" t="s">
        <v>9</v>
      </c>
      <c r="E18" s="10" t="s">
        <v>6</v>
      </c>
      <c r="F18" s="10" t="s">
        <v>7</v>
      </c>
      <c r="G18" s="10" t="s">
        <v>44</v>
      </c>
      <c r="H18" s="10" t="s">
        <v>42</v>
      </c>
      <c r="I18" s="13">
        <v>0.4270833333333333</v>
      </c>
      <c r="J18" s="13">
        <v>0.7798611111111111</v>
      </c>
      <c r="K18" s="10">
        <v>30.0</v>
      </c>
      <c r="L18" s="13">
        <v>0.4826388888888889</v>
      </c>
      <c r="M18" s="13">
        <v>0.7291666666666666</v>
      </c>
      <c r="N18" s="10">
        <v>50.0</v>
      </c>
      <c r="O18" s="10">
        <v>1.0</v>
      </c>
      <c r="P18" s="10">
        <v>60.0</v>
      </c>
      <c r="Q18" s="14">
        <f t="shared" si="1"/>
        <v>46038</v>
      </c>
      <c r="R18" s="15">
        <f t="shared" si="2"/>
        <v>7.966666667</v>
      </c>
      <c r="S18" s="16">
        <f>IFERROR(__xludf.DUMMYFUNCTION("IFERROR( INDEX( FILTER( Reference!$F:$F, Reference!$A:$A = $E18, Reference!$E:$E = $D18, Reference!$C:$C = $Q18),1),""RATE_NOT_FOUND"")"),26.0)</f>
        <v>26</v>
      </c>
      <c r="T18" s="15">
        <f t="shared" si="3"/>
        <v>207.1333333</v>
      </c>
      <c r="U18" s="15">
        <f t="shared" si="4"/>
        <v>5.083333333</v>
      </c>
      <c r="V18" s="17">
        <f t="shared" si="5"/>
        <v>11.80327869</v>
      </c>
      <c r="W18" s="18" t="str">
        <f t="shared" si="6"/>
        <v>Friday</v>
      </c>
      <c r="X18" s="18">
        <f t="shared" si="7"/>
        <v>0</v>
      </c>
      <c r="Y18" s="14">
        <f>IFERROR(__xludf.DUMMYFUNCTION("IFERROR( INDEX( FILTER(Reference!$D:$D, Reference!$A:$A=$E18, Reference!$C:$C=$Q18), 1),"""")"),46038.0)</f>
        <v>46038</v>
      </c>
      <c r="Z18" s="18">
        <f t="shared" si="8"/>
        <v>9.75</v>
      </c>
      <c r="AA18" s="18">
        <f>IF(Z18=0,0, IF(Z18&gt;=LOOKUP(Q18,MinHr_Weekly_Bonus!A:A,MinHr_Weekly_Bonus!B:B), LOOKUP(Q18,MinHr_Weekly_Bonus!A:A,MinHr_Weekly_Bonus!C:C), 0))</f>
        <v>0</v>
      </c>
      <c r="AB18" s="15">
        <f t="shared" si="9"/>
        <v>207.1333333</v>
      </c>
      <c r="AC18" s="18" t="str">
        <f t="shared" si="10"/>
        <v/>
      </c>
    </row>
    <row r="19">
      <c r="A19" s="10" t="s">
        <v>36</v>
      </c>
      <c r="B19" s="12">
        <v>46038.0</v>
      </c>
      <c r="C19" s="10" t="s">
        <v>49</v>
      </c>
      <c r="D19" s="10" t="s">
        <v>8</v>
      </c>
      <c r="E19" s="10" t="s">
        <v>6</v>
      </c>
      <c r="F19" s="10" t="s">
        <v>7</v>
      </c>
      <c r="G19" s="10" t="s">
        <v>44</v>
      </c>
      <c r="H19" s="10" t="s">
        <v>42</v>
      </c>
      <c r="I19" s="13">
        <v>0.4479166666666667</v>
      </c>
      <c r="J19" s="13">
        <v>0.7708333333333334</v>
      </c>
      <c r="K19" s="10">
        <v>30.0</v>
      </c>
      <c r="L19" s="13">
        <v>0.4895833333333333</v>
      </c>
      <c r="M19" s="13">
        <v>0.7291666666666666</v>
      </c>
      <c r="N19" s="10">
        <v>50.0</v>
      </c>
      <c r="O19" s="10">
        <v>1.0</v>
      </c>
      <c r="P19" s="10">
        <v>113.0</v>
      </c>
      <c r="Q19" s="14">
        <f t="shared" si="1"/>
        <v>46038</v>
      </c>
      <c r="R19" s="15">
        <f t="shared" si="2"/>
        <v>7.25</v>
      </c>
      <c r="S19" s="16">
        <f>IFERROR(__xludf.DUMMYFUNCTION("IFERROR( INDEX( FILTER( Reference!$F:$F, Reference!$A:$A = $E19, Reference!$E:$E = $D19, Reference!$C:$C = $Q19),1),""RATE_NOT_FOUND"")"),24.0)</f>
        <v>24</v>
      </c>
      <c r="T19" s="15">
        <f t="shared" si="3"/>
        <v>174</v>
      </c>
      <c r="U19" s="15">
        <f t="shared" si="4"/>
        <v>4.916666667</v>
      </c>
      <c r="V19" s="17">
        <f t="shared" si="5"/>
        <v>22.98305085</v>
      </c>
      <c r="W19" s="18" t="str">
        <f t="shared" si="6"/>
        <v>Friday</v>
      </c>
      <c r="X19" s="18">
        <f t="shared" si="7"/>
        <v>50</v>
      </c>
      <c r="Y19" s="14">
        <f>IFERROR(__xludf.DUMMYFUNCTION("IFERROR( INDEX( FILTER(Reference!$D:$D, Reference!$A:$A=$E19, Reference!$C:$C=$Q19), 1),"""")"),46038.0)</f>
        <v>46038</v>
      </c>
      <c r="Z19" s="18">
        <f t="shared" si="8"/>
        <v>4.916666667</v>
      </c>
      <c r="AA19" s="18">
        <f>IF(Z19=0,0, IF(Z19&gt;=LOOKUP(Q19,MinHr_Weekly_Bonus!A:A,MinHr_Weekly_Bonus!B:B), LOOKUP(Q19,MinHr_Weekly_Bonus!A:A,MinHr_Weekly_Bonus!C:C), 0))</f>
        <v>0</v>
      </c>
      <c r="AB19" s="15">
        <f t="shared" si="9"/>
        <v>224</v>
      </c>
      <c r="AC19" s="18" t="str">
        <f t="shared" si="10"/>
        <v/>
      </c>
    </row>
    <row r="20">
      <c r="A20" s="10" t="s">
        <v>36</v>
      </c>
      <c r="B20" s="12">
        <v>46038.0</v>
      </c>
      <c r="C20" s="10" t="s">
        <v>39</v>
      </c>
      <c r="D20" s="10" t="s">
        <v>8</v>
      </c>
      <c r="E20" s="10" t="s">
        <v>6</v>
      </c>
      <c r="F20" s="10" t="s">
        <v>7</v>
      </c>
      <c r="G20" s="10" t="s">
        <v>44</v>
      </c>
      <c r="H20" s="10" t="s">
        <v>42</v>
      </c>
      <c r="I20" s="13">
        <v>0.4444444444444444</v>
      </c>
      <c r="J20" s="13">
        <v>0.7708333333333334</v>
      </c>
      <c r="K20" s="10">
        <v>30.0</v>
      </c>
      <c r="L20" s="13">
        <v>0.4895833333333333</v>
      </c>
      <c r="M20" s="13">
        <v>0.7291666666666666</v>
      </c>
      <c r="N20" s="10">
        <v>50.0</v>
      </c>
      <c r="O20" s="10">
        <v>1.0</v>
      </c>
      <c r="P20" s="10">
        <v>67.0</v>
      </c>
      <c r="Q20" s="14">
        <f t="shared" si="1"/>
        <v>46038</v>
      </c>
      <c r="R20" s="15">
        <f t="shared" si="2"/>
        <v>7.333333333</v>
      </c>
      <c r="S20" s="16">
        <f>IFERROR(__xludf.DUMMYFUNCTION("IFERROR( INDEX( FILTER( Reference!$F:$F, Reference!$A:$A = $E20, Reference!$E:$E = $D20, Reference!$C:$C = $Q20),1),""RATE_NOT_FOUND"")"),24.0)</f>
        <v>24</v>
      </c>
      <c r="T20" s="15">
        <f t="shared" si="3"/>
        <v>176</v>
      </c>
      <c r="U20" s="15">
        <f t="shared" si="4"/>
        <v>4.916666667</v>
      </c>
      <c r="V20" s="17">
        <f t="shared" si="5"/>
        <v>13.62711864</v>
      </c>
      <c r="W20" s="18" t="str">
        <f t="shared" si="6"/>
        <v>Friday</v>
      </c>
      <c r="X20" s="18">
        <f t="shared" si="7"/>
        <v>0</v>
      </c>
      <c r="Y20" s="14">
        <f>IFERROR(__xludf.DUMMYFUNCTION("IFERROR( INDEX( FILTER(Reference!$D:$D, Reference!$A:$A=$E20, Reference!$C:$C=$Q20), 1),"""")"),46038.0)</f>
        <v>46038</v>
      </c>
      <c r="Z20" s="18">
        <f t="shared" si="8"/>
        <v>9.833333333</v>
      </c>
      <c r="AA20" s="18">
        <f>IF(Z20=0,0, IF(Z20&gt;=LOOKUP(Q20,MinHr_Weekly_Bonus!A:A,MinHr_Weekly_Bonus!B:B), LOOKUP(Q20,MinHr_Weekly_Bonus!A:A,MinHr_Weekly_Bonus!C:C), 0))</f>
        <v>0</v>
      </c>
      <c r="AB20" s="15">
        <f t="shared" si="9"/>
        <v>176</v>
      </c>
      <c r="AC20" s="18" t="str">
        <f t="shared" si="10"/>
        <v/>
      </c>
    </row>
    <row r="21">
      <c r="A21" s="10" t="s">
        <v>36</v>
      </c>
      <c r="B21" s="12">
        <v>46038.0</v>
      </c>
      <c r="C21" s="10" t="s">
        <v>50</v>
      </c>
      <c r="D21" s="10" t="s">
        <v>8</v>
      </c>
      <c r="E21" s="10" t="s">
        <v>6</v>
      </c>
      <c r="F21" s="10" t="s">
        <v>7</v>
      </c>
      <c r="G21" s="10" t="s">
        <v>44</v>
      </c>
      <c r="H21" s="10" t="s">
        <v>42</v>
      </c>
      <c r="I21" s="13">
        <v>0.3958333333333333</v>
      </c>
      <c r="J21" s="13">
        <v>0.7819444444444444</v>
      </c>
      <c r="K21" s="10">
        <v>30.0</v>
      </c>
      <c r="L21" s="13">
        <v>0.4895833333333333</v>
      </c>
      <c r="M21" s="13">
        <v>0.7291666666666666</v>
      </c>
      <c r="N21" s="10">
        <v>50.0</v>
      </c>
      <c r="O21" s="10">
        <v>1.0</v>
      </c>
      <c r="P21" s="10">
        <v>78.0</v>
      </c>
      <c r="Q21" s="14">
        <f t="shared" si="1"/>
        <v>46038</v>
      </c>
      <c r="R21" s="15">
        <f t="shared" si="2"/>
        <v>8.766666667</v>
      </c>
      <c r="S21" s="16">
        <f>IFERROR(__xludf.DUMMYFUNCTION("IFERROR( INDEX( FILTER( Reference!$F:$F, Reference!$A:$A = $E21, Reference!$E:$E = $D21, Reference!$C:$C = $Q21),1),""RATE_NOT_FOUND"")"),24.0)</f>
        <v>24</v>
      </c>
      <c r="T21" s="15">
        <f t="shared" si="3"/>
        <v>210.4</v>
      </c>
      <c r="U21" s="15">
        <f t="shared" si="4"/>
        <v>4.916666667</v>
      </c>
      <c r="V21" s="17">
        <f t="shared" si="5"/>
        <v>15.86440678</v>
      </c>
      <c r="W21" s="18" t="str">
        <f t="shared" si="6"/>
        <v>Friday</v>
      </c>
      <c r="X21" s="18">
        <f t="shared" si="7"/>
        <v>0</v>
      </c>
      <c r="Y21" s="14">
        <f>IFERROR(__xludf.DUMMYFUNCTION("IFERROR( INDEX( FILTER(Reference!$D:$D, Reference!$A:$A=$E21, Reference!$C:$C=$Q21), 1),"""")"),46038.0)</f>
        <v>46038</v>
      </c>
      <c r="Z21" s="18">
        <f t="shared" si="8"/>
        <v>4.916666667</v>
      </c>
      <c r="AA21" s="18">
        <f>IF(Z21=0,0, IF(Z21&gt;=LOOKUP(Q21,MinHr_Weekly_Bonus!A:A,MinHr_Weekly_Bonus!B:B), LOOKUP(Q21,MinHr_Weekly_Bonus!A:A,MinHr_Weekly_Bonus!C:C), 0))</f>
        <v>0</v>
      </c>
      <c r="AB21" s="15">
        <f t="shared" si="9"/>
        <v>210.4</v>
      </c>
      <c r="AC21" s="18" t="str">
        <f t="shared" si="10"/>
        <v/>
      </c>
    </row>
    <row r="22">
      <c r="A22" s="10" t="s">
        <v>36</v>
      </c>
      <c r="B22" s="12">
        <v>46038.0</v>
      </c>
      <c r="C22" s="10" t="s">
        <v>47</v>
      </c>
      <c r="D22" s="10" t="s">
        <v>8</v>
      </c>
      <c r="E22" s="10" t="s">
        <v>6</v>
      </c>
      <c r="F22" s="10" t="s">
        <v>7</v>
      </c>
      <c r="G22" s="10" t="s">
        <v>44</v>
      </c>
      <c r="H22" s="10" t="s">
        <v>51</v>
      </c>
      <c r="I22" s="13">
        <v>0.4444444444444444</v>
      </c>
      <c r="J22" s="13">
        <v>0.78125</v>
      </c>
      <c r="K22" s="10">
        <v>30.0</v>
      </c>
      <c r="L22" s="13">
        <v>0.4895833333333333</v>
      </c>
      <c r="M22" s="13">
        <v>0.7291666666666666</v>
      </c>
      <c r="N22" s="10">
        <v>50.0</v>
      </c>
      <c r="O22" s="10">
        <v>1.0</v>
      </c>
      <c r="P22" s="10">
        <v>52.0</v>
      </c>
      <c r="Q22" s="14">
        <f t="shared" si="1"/>
        <v>46038</v>
      </c>
      <c r="R22" s="15">
        <f t="shared" si="2"/>
        <v>7.583333333</v>
      </c>
      <c r="S22" s="16">
        <f>IFERROR(__xludf.DUMMYFUNCTION("IFERROR( INDEX( FILTER( Reference!$F:$F, Reference!$A:$A = $E22, Reference!$E:$E = $D22, Reference!$C:$C = $Q22),1),""RATE_NOT_FOUND"")"),24.0)</f>
        <v>24</v>
      </c>
      <c r="T22" s="15">
        <f t="shared" si="3"/>
        <v>182</v>
      </c>
      <c r="U22" s="15">
        <f t="shared" si="4"/>
        <v>4.916666667</v>
      </c>
      <c r="V22" s="17">
        <f t="shared" si="5"/>
        <v>10.57627119</v>
      </c>
      <c r="W22" s="18" t="str">
        <f t="shared" si="6"/>
        <v>Friday</v>
      </c>
      <c r="X22" s="18">
        <f t="shared" si="7"/>
        <v>0</v>
      </c>
      <c r="Y22" s="14">
        <f>IFERROR(__xludf.DUMMYFUNCTION("IFERROR( INDEX( FILTER(Reference!$D:$D, Reference!$A:$A=$E22, Reference!$C:$C=$Q22), 1),"""")"),46038.0)</f>
        <v>46038</v>
      </c>
      <c r="Z22" s="18">
        <f t="shared" si="8"/>
        <v>10.08333333</v>
      </c>
      <c r="AA22" s="18">
        <f>IF(Z22=0,0, IF(Z22&gt;=LOOKUP(Q22,MinHr_Weekly_Bonus!A:A,MinHr_Weekly_Bonus!B:B), LOOKUP(Q22,MinHr_Weekly_Bonus!A:A,MinHr_Weekly_Bonus!C:C), 0))</f>
        <v>0</v>
      </c>
      <c r="AB22" s="15">
        <f t="shared" si="9"/>
        <v>182</v>
      </c>
      <c r="AC22" s="18" t="str">
        <f t="shared" si="10"/>
        <v/>
      </c>
    </row>
    <row r="23">
      <c r="A23" s="10" t="s">
        <v>36</v>
      </c>
      <c r="B23" s="12">
        <v>46038.0</v>
      </c>
      <c r="C23" s="10" t="s">
        <v>51</v>
      </c>
      <c r="D23" s="10" t="s">
        <v>9</v>
      </c>
      <c r="E23" s="10" t="s">
        <v>6</v>
      </c>
      <c r="F23" s="10" t="s">
        <v>7</v>
      </c>
      <c r="G23" s="10" t="s">
        <v>44</v>
      </c>
      <c r="H23" s="10" t="s">
        <v>51</v>
      </c>
      <c r="I23" s="13">
        <v>0.3958333333333333</v>
      </c>
      <c r="J23" s="13">
        <v>0.7708333333333334</v>
      </c>
      <c r="K23" s="10">
        <v>30.0</v>
      </c>
      <c r="L23" s="13">
        <v>0.48819444444444443</v>
      </c>
      <c r="M23" s="13">
        <v>0.7291666666666666</v>
      </c>
      <c r="N23" s="10">
        <v>50.0</v>
      </c>
      <c r="O23" s="10">
        <v>1.0</v>
      </c>
      <c r="P23" s="10">
        <v>56.0</v>
      </c>
      <c r="Q23" s="14">
        <f t="shared" si="1"/>
        <v>46038</v>
      </c>
      <c r="R23" s="15">
        <f t="shared" si="2"/>
        <v>8.5</v>
      </c>
      <c r="S23" s="16">
        <f>IFERROR(__xludf.DUMMYFUNCTION("IFERROR( INDEX( FILTER( Reference!$F:$F, Reference!$A:$A = $E23, Reference!$E:$E = $D23, Reference!$C:$C = $Q23),1),""RATE_NOT_FOUND"")"),26.0)</f>
        <v>26</v>
      </c>
      <c r="T23" s="15">
        <f t="shared" si="3"/>
        <v>221</v>
      </c>
      <c r="U23" s="15">
        <f t="shared" si="4"/>
        <v>4.95</v>
      </c>
      <c r="V23" s="17">
        <f t="shared" si="5"/>
        <v>11.31313131</v>
      </c>
      <c r="W23" s="18" t="str">
        <f t="shared" si="6"/>
        <v>Friday</v>
      </c>
      <c r="X23" s="18">
        <f t="shared" si="7"/>
        <v>0</v>
      </c>
      <c r="Y23" s="14">
        <f>IFERROR(__xludf.DUMMYFUNCTION("IFERROR( INDEX( FILTER(Reference!$D:$D, Reference!$A:$A=$E23, Reference!$C:$C=$Q23), 1),"""")"),46038.0)</f>
        <v>46038</v>
      </c>
      <c r="Z23" s="18">
        <f t="shared" si="8"/>
        <v>4.95</v>
      </c>
      <c r="AA23" s="18">
        <f>IF(Z23=0,0, IF(Z23&gt;=LOOKUP(Q23,MinHr_Weekly_Bonus!A:A,MinHr_Weekly_Bonus!B:B), LOOKUP(Q23,MinHr_Weekly_Bonus!A:A,MinHr_Weekly_Bonus!C:C), 0))</f>
        <v>0</v>
      </c>
      <c r="AB23" s="15">
        <f t="shared" si="9"/>
        <v>221</v>
      </c>
      <c r="AC23" s="18" t="str">
        <f t="shared" si="10"/>
        <v/>
      </c>
    </row>
    <row r="24">
      <c r="A24" s="10" t="s">
        <v>36</v>
      </c>
      <c r="B24" s="12">
        <v>46038.0</v>
      </c>
      <c r="C24" s="10" t="s">
        <v>37</v>
      </c>
      <c r="D24" s="10" t="s">
        <v>8</v>
      </c>
      <c r="E24" s="10" t="s">
        <v>6</v>
      </c>
      <c r="F24" s="10" t="s">
        <v>7</v>
      </c>
      <c r="G24" s="10" t="s">
        <v>44</v>
      </c>
      <c r="H24" s="10" t="s">
        <v>51</v>
      </c>
      <c r="I24" s="13">
        <v>0.4444444444444444</v>
      </c>
      <c r="J24" s="13">
        <v>0.7805555555555556</v>
      </c>
      <c r="K24" s="10">
        <v>30.0</v>
      </c>
      <c r="L24" s="13">
        <v>0.4895833333333333</v>
      </c>
      <c r="M24" s="13">
        <v>0.7291666666666666</v>
      </c>
      <c r="N24" s="10">
        <v>50.0</v>
      </c>
      <c r="O24" s="10">
        <v>1.0</v>
      </c>
      <c r="P24" s="10">
        <v>89.0</v>
      </c>
      <c r="Q24" s="14">
        <f t="shared" si="1"/>
        <v>46038</v>
      </c>
      <c r="R24" s="15">
        <f t="shared" si="2"/>
        <v>7.566666667</v>
      </c>
      <c r="S24" s="16">
        <f>IFERROR(__xludf.DUMMYFUNCTION("IFERROR( INDEX( FILTER( Reference!$F:$F, Reference!$A:$A = $E24, Reference!$E:$E = $D24, Reference!$C:$C = $Q24),1),""RATE_NOT_FOUND"")"),24.0)</f>
        <v>24</v>
      </c>
      <c r="T24" s="15">
        <f t="shared" si="3"/>
        <v>181.6</v>
      </c>
      <c r="U24" s="15">
        <f t="shared" si="4"/>
        <v>4.916666667</v>
      </c>
      <c r="V24" s="17">
        <f t="shared" si="5"/>
        <v>18.10169492</v>
      </c>
      <c r="W24" s="18" t="str">
        <f t="shared" si="6"/>
        <v>Friday</v>
      </c>
      <c r="X24" s="18">
        <f t="shared" si="7"/>
        <v>50</v>
      </c>
      <c r="Y24" s="14">
        <f>IFERROR(__xludf.DUMMYFUNCTION("IFERROR( INDEX( FILTER(Reference!$D:$D, Reference!$A:$A=$E24, Reference!$C:$C=$Q24), 1),"""")"),46038.0)</f>
        <v>46038</v>
      </c>
      <c r="Z24" s="18">
        <f t="shared" si="8"/>
        <v>9.583333333</v>
      </c>
      <c r="AA24" s="18">
        <f>IF(Z24=0,0, IF(Z24&gt;=LOOKUP(Q24,MinHr_Weekly_Bonus!A:A,MinHr_Weekly_Bonus!B:B), LOOKUP(Q24,MinHr_Weekly_Bonus!A:A,MinHr_Weekly_Bonus!C:C), 0))</f>
        <v>0</v>
      </c>
      <c r="AB24" s="15">
        <f t="shared" si="9"/>
        <v>231.6</v>
      </c>
      <c r="AC24" s="18" t="str">
        <f t="shared" si="10"/>
        <v/>
      </c>
    </row>
    <row r="25">
      <c r="A25" s="10" t="s">
        <v>36</v>
      </c>
      <c r="B25" s="12">
        <v>46038.0</v>
      </c>
      <c r="C25" s="10" t="s">
        <v>52</v>
      </c>
      <c r="D25" s="10" t="s">
        <v>8</v>
      </c>
      <c r="E25" s="10" t="s">
        <v>6</v>
      </c>
      <c r="F25" s="10" t="s">
        <v>7</v>
      </c>
      <c r="G25" s="10" t="s">
        <v>44</v>
      </c>
      <c r="H25" s="10" t="s">
        <v>51</v>
      </c>
      <c r="I25" s="13">
        <v>0.3958333333333333</v>
      </c>
      <c r="J25" s="13">
        <v>0.7868055555555555</v>
      </c>
      <c r="K25" s="10">
        <v>30.0</v>
      </c>
      <c r="L25" s="13">
        <v>0.5034722222222222</v>
      </c>
      <c r="M25" s="13">
        <v>0.7083333333333334</v>
      </c>
      <c r="N25" s="10">
        <v>70.0</v>
      </c>
      <c r="O25" s="10">
        <v>1.0</v>
      </c>
      <c r="P25" s="10">
        <v>62.0</v>
      </c>
      <c r="Q25" s="14">
        <f t="shared" si="1"/>
        <v>46038</v>
      </c>
      <c r="R25" s="15">
        <f t="shared" si="2"/>
        <v>8.883333333</v>
      </c>
      <c r="S25" s="16">
        <f>IFERROR(__xludf.DUMMYFUNCTION("IFERROR( INDEX( FILTER( Reference!$F:$F, Reference!$A:$A = $E25, Reference!$E:$E = $D25, Reference!$C:$C = $Q25),1),""RATE_NOT_FOUND"")"),24.0)</f>
        <v>24</v>
      </c>
      <c r="T25" s="15">
        <f t="shared" si="3"/>
        <v>213.2</v>
      </c>
      <c r="U25" s="15">
        <f t="shared" si="4"/>
        <v>3.75</v>
      </c>
      <c r="V25" s="17">
        <f t="shared" si="5"/>
        <v>16.53333333</v>
      </c>
      <c r="W25" s="18" t="str">
        <f t="shared" si="6"/>
        <v>Friday</v>
      </c>
      <c r="X25" s="18">
        <f t="shared" si="7"/>
        <v>0</v>
      </c>
      <c r="Y25" s="14">
        <f>IFERROR(__xludf.DUMMYFUNCTION("IFERROR( INDEX( FILTER(Reference!$D:$D, Reference!$A:$A=$E25, Reference!$C:$C=$Q25), 1),"""")"),46038.0)</f>
        <v>46038</v>
      </c>
      <c r="Z25" s="18">
        <f t="shared" si="8"/>
        <v>3.75</v>
      </c>
      <c r="AA25" s="18">
        <f>IF(Z25=0,0, IF(Z25&gt;=LOOKUP(Q25,MinHr_Weekly_Bonus!A:A,MinHr_Weekly_Bonus!B:B), LOOKUP(Q25,MinHr_Weekly_Bonus!A:A,MinHr_Weekly_Bonus!C:C), 0))</f>
        <v>0</v>
      </c>
      <c r="AB25" s="15">
        <f t="shared" si="9"/>
        <v>213.2</v>
      </c>
      <c r="AC25" s="18" t="str">
        <f t="shared" si="10"/>
        <v/>
      </c>
    </row>
    <row r="26">
      <c r="A26" s="10" t="s">
        <v>36</v>
      </c>
      <c r="B26" s="12">
        <v>46038.0</v>
      </c>
      <c r="C26" s="10" t="s">
        <v>45</v>
      </c>
      <c r="D26" s="10" t="s">
        <v>8</v>
      </c>
      <c r="E26" s="10" t="s">
        <v>6</v>
      </c>
      <c r="F26" s="10" t="s">
        <v>7</v>
      </c>
      <c r="G26" s="10" t="s">
        <v>44</v>
      </c>
      <c r="H26" s="10" t="s">
        <v>51</v>
      </c>
      <c r="I26" s="13">
        <v>0.4479166666666667</v>
      </c>
      <c r="J26" s="13">
        <v>0.7902777777777777</v>
      </c>
      <c r="K26" s="10">
        <v>30.0</v>
      </c>
      <c r="L26" s="13">
        <v>0.5</v>
      </c>
      <c r="M26" s="13">
        <v>0.7291666666666666</v>
      </c>
      <c r="N26" s="10">
        <v>70.0</v>
      </c>
      <c r="O26" s="10">
        <v>1.0</v>
      </c>
      <c r="P26" s="10">
        <v>84.0</v>
      </c>
      <c r="Q26" s="14">
        <f t="shared" si="1"/>
        <v>46038</v>
      </c>
      <c r="R26" s="15">
        <f t="shared" si="2"/>
        <v>7.716666667</v>
      </c>
      <c r="S26" s="16">
        <f>IFERROR(__xludf.DUMMYFUNCTION("IFERROR( INDEX( FILTER( Reference!$F:$F, Reference!$A:$A = $E26, Reference!$E:$E = $D26, Reference!$C:$C = $Q26),1),""RATE_NOT_FOUND"")"),24.0)</f>
        <v>24</v>
      </c>
      <c r="T26" s="15">
        <f t="shared" si="3"/>
        <v>185.2</v>
      </c>
      <c r="U26" s="15">
        <f t="shared" si="4"/>
        <v>4.333333333</v>
      </c>
      <c r="V26" s="17">
        <f t="shared" si="5"/>
        <v>19.38461538</v>
      </c>
      <c r="W26" s="18" t="str">
        <f t="shared" si="6"/>
        <v>Friday</v>
      </c>
      <c r="X26" s="18">
        <f t="shared" si="7"/>
        <v>50</v>
      </c>
      <c r="Y26" s="14">
        <f>IFERROR(__xludf.DUMMYFUNCTION("IFERROR( INDEX( FILTER(Reference!$D:$D, Reference!$A:$A=$E26, Reference!$C:$C=$Q26), 1),"""")"),46038.0)</f>
        <v>46038</v>
      </c>
      <c r="Z26" s="18">
        <f t="shared" si="8"/>
        <v>9.25</v>
      </c>
      <c r="AA26" s="18">
        <f>IF(Z26=0,0, IF(Z26&gt;=LOOKUP(Q26,MinHr_Weekly_Bonus!A:A,MinHr_Weekly_Bonus!B:B), LOOKUP(Q26,MinHr_Weekly_Bonus!A:A,MinHr_Weekly_Bonus!C:C), 0))</f>
        <v>0</v>
      </c>
      <c r="AB26" s="15">
        <f t="shared" si="9"/>
        <v>235.2</v>
      </c>
      <c r="AC26" s="18" t="str">
        <f t="shared" si="10"/>
        <v/>
      </c>
    </row>
    <row r="27">
      <c r="A27" s="10" t="s">
        <v>36</v>
      </c>
      <c r="B27" s="12">
        <v>46038.0</v>
      </c>
      <c r="C27" s="10" t="s">
        <v>40</v>
      </c>
      <c r="D27" s="10" t="s">
        <v>8</v>
      </c>
      <c r="E27" s="10" t="s">
        <v>6</v>
      </c>
      <c r="F27" s="10" t="s">
        <v>7</v>
      </c>
      <c r="G27" s="10" t="s">
        <v>44</v>
      </c>
      <c r="H27" s="10" t="s">
        <v>51</v>
      </c>
      <c r="I27" s="13">
        <v>0.4708333333333333</v>
      </c>
      <c r="J27" s="13">
        <v>0.7916666666666666</v>
      </c>
      <c r="K27" s="10">
        <v>30.0</v>
      </c>
      <c r="L27" s="13">
        <v>0.5</v>
      </c>
      <c r="M27" s="13">
        <v>0.7291666666666666</v>
      </c>
      <c r="N27" s="10">
        <v>70.0</v>
      </c>
      <c r="O27" s="10">
        <v>1.0</v>
      </c>
      <c r="P27" s="10">
        <v>66.0</v>
      </c>
      <c r="Q27" s="14">
        <f t="shared" si="1"/>
        <v>46038</v>
      </c>
      <c r="R27" s="15">
        <f t="shared" si="2"/>
        <v>7.2</v>
      </c>
      <c r="S27" s="16">
        <f>IFERROR(__xludf.DUMMYFUNCTION("IFERROR( INDEX( FILTER( Reference!$F:$F, Reference!$A:$A = $E27, Reference!$E:$E = $D27, Reference!$C:$C = $Q27),1),""RATE_NOT_FOUND"")"),24.0)</f>
        <v>24</v>
      </c>
      <c r="T27" s="15">
        <f t="shared" si="3"/>
        <v>172.8</v>
      </c>
      <c r="U27" s="15">
        <f t="shared" si="4"/>
        <v>4.333333333</v>
      </c>
      <c r="V27" s="17">
        <f t="shared" si="5"/>
        <v>15.23076923</v>
      </c>
      <c r="W27" s="18" t="str">
        <f t="shared" si="6"/>
        <v>Friday</v>
      </c>
      <c r="X27" s="18">
        <f t="shared" si="7"/>
        <v>0</v>
      </c>
      <c r="Y27" s="14">
        <f>IFERROR(__xludf.DUMMYFUNCTION("IFERROR( INDEX( FILTER(Reference!$D:$D, Reference!$A:$A=$E27, Reference!$C:$C=$Q27), 1),"""")"),46038.0)</f>
        <v>46038</v>
      </c>
      <c r="Z27" s="18">
        <f t="shared" si="8"/>
        <v>9.083333333</v>
      </c>
      <c r="AA27" s="18">
        <f>IF(Z27=0,0, IF(Z27&gt;=LOOKUP(Q27,MinHr_Weekly_Bonus!A:A,MinHr_Weekly_Bonus!B:B), LOOKUP(Q27,MinHr_Weekly_Bonus!A:A,MinHr_Weekly_Bonus!C:C), 0))</f>
        <v>0</v>
      </c>
      <c r="AB27" s="15">
        <f t="shared" si="9"/>
        <v>172.8</v>
      </c>
      <c r="AC27" s="18" t="str">
        <f t="shared" si="10"/>
        <v/>
      </c>
    </row>
    <row r="28">
      <c r="A28" s="10" t="s">
        <v>36</v>
      </c>
      <c r="B28" s="12">
        <v>46039.0</v>
      </c>
      <c r="C28" s="10" t="s">
        <v>42</v>
      </c>
      <c r="D28" s="10" t="s">
        <v>9</v>
      </c>
      <c r="E28" s="10" t="s">
        <v>6</v>
      </c>
      <c r="F28" s="10" t="s">
        <v>7</v>
      </c>
      <c r="G28" s="10" t="s">
        <v>44</v>
      </c>
      <c r="H28" s="10" t="s">
        <v>42</v>
      </c>
      <c r="I28" s="13">
        <v>0.4236111111111111</v>
      </c>
      <c r="J28" s="13">
        <v>0.7819444444444444</v>
      </c>
      <c r="K28" s="10">
        <v>30.0</v>
      </c>
      <c r="L28" s="13">
        <v>0.4756944444444444</v>
      </c>
      <c r="M28" s="13">
        <v>0.7291666666666666</v>
      </c>
      <c r="N28" s="10">
        <v>90.0</v>
      </c>
      <c r="O28" s="10">
        <v>1.0</v>
      </c>
      <c r="P28" s="10">
        <v>80.0</v>
      </c>
      <c r="Q28" s="14">
        <f t="shared" si="1"/>
        <v>46045</v>
      </c>
      <c r="R28" s="15">
        <f t="shared" si="2"/>
        <v>8.1</v>
      </c>
      <c r="S28" s="16">
        <f>IFERROR(__xludf.DUMMYFUNCTION("IFERROR( INDEX( FILTER( Reference!$F:$F, Reference!$A:$A = $E28, Reference!$E:$E = $D28, Reference!$C:$C = $Q28),1),""RATE_NOT_FOUND"")"),26.0)</f>
        <v>26</v>
      </c>
      <c r="T28" s="15">
        <f t="shared" si="3"/>
        <v>210.6</v>
      </c>
      <c r="U28" s="15">
        <f t="shared" si="4"/>
        <v>4.583333333</v>
      </c>
      <c r="V28" s="17">
        <f t="shared" si="5"/>
        <v>17.45454545</v>
      </c>
      <c r="W28" s="18" t="str">
        <f t="shared" si="6"/>
        <v>Saturday</v>
      </c>
      <c r="X28" s="18">
        <f t="shared" si="7"/>
        <v>0</v>
      </c>
      <c r="Y28" s="14">
        <f>IFERROR(__xludf.DUMMYFUNCTION("IFERROR( INDEX( FILTER(Reference!$D:$D, Reference!$A:$A=$E28, Reference!$C:$C=$Q28), 1),"""")"),46052.0)</f>
        <v>46052</v>
      </c>
      <c r="Z28" s="18">
        <f t="shared" si="8"/>
        <v>23.83333333</v>
      </c>
      <c r="AA28" s="18">
        <f>IF(Z28=0,0, IF(Z28&gt;=LOOKUP(Q28,MinHr_Weekly_Bonus!A:A,MinHr_Weekly_Bonus!B:B), LOOKUP(Q28,MinHr_Weekly_Bonus!A:A,MinHr_Weekly_Bonus!C:C), 0))</f>
        <v>100</v>
      </c>
      <c r="AB28" s="15">
        <f t="shared" si="9"/>
        <v>210.6</v>
      </c>
      <c r="AC28" s="18" t="str">
        <f t="shared" si="10"/>
        <v/>
      </c>
    </row>
    <row r="29">
      <c r="A29" s="10" t="s">
        <v>36</v>
      </c>
      <c r="B29" s="12">
        <v>46039.0</v>
      </c>
      <c r="C29" s="10" t="s">
        <v>53</v>
      </c>
      <c r="D29" s="10" t="s">
        <v>8</v>
      </c>
      <c r="E29" s="10" t="s">
        <v>6</v>
      </c>
      <c r="F29" s="10" t="s">
        <v>7</v>
      </c>
      <c r="G29" s="10" t="s">
        <v>44</v>
      </c>
      <c r="H29" s="10" t="s">
        <v>42</v>
      </c>
      <c r="I29" s="13">
        <v>0.3958333333333333</v>
      </c>
      <c r="J29" s="13">
        <v>0.7604166666666666</v>
      </c>
      <c r="K29" s="10">
        <v>30.0</v>
      </c>
      <c r="L29" s="13">
        <v>0.4756944444444444</v>
      </c>
      <c r="M29" s="13">
        <v>0.7291666666666666</v>
      </c>
      <c r="N29" s="10">
        <v>90.0</v>
      </c>
      <c r="O29" s="10">
        <v>1.0</v>
      </c>
      <c r="P29" s="10">
        <v>105.0</v>
      </c>
      <c r="Q29" s="14">
        <f t="shared" si="1"/>
        <v>46045</v>
      </c>
      <c r="R29" s="15">
        <f t="shared" si="2"/>
        <v>8.25</v>
      </c>
      <c r="S29" s="16">
        <f>IFERROR(__xludf.DUMMYFUNCTION("IFERROR( INDEX( FILTER( Reference!$F:$F, Reference!$A:$A = $E29, Reference!$E:$E = $D29, Reference!$C:$C = $Q29),1),""RATE_NOT_FOUND"")"),24.0)</f>
        <v>24</v>
      </c>
      <c r="T29" s="15">
        <f t="shared" si="3"/>
        <v>198</v>
      </c>
      <c r="U29" s="15">
        <f t="shared" si="4"/>
        <v>4.583333333</v>
      </c>
      <c r="V29" s="17">
        <f t="shared" si="5"/>
        <v>22.90909091</v>
      </c>
      <c r="W29" s="18" t="str">
        <f t="shared" si="6"/>
        <v>Saturday</v>
      </c>
      <c r="X29" s="18">
        <f t="shared" si="7"/>
        <v>50</v>
      </c>
      <c r="Y29" s="14">
        <f>IFERROR(__xludf.DUMMYFUNCTION("IFERROR( INDEX( FILTER(Reference!$D:$D, Reference!$A:$A=$E29, Reference!$C:$C=$Q29), 1),"""")"),46052.0)</f>
        <v>46052</v>
      </c>
      <c r="Z29" s="18">
        <f t="shared" si="8"/>
        <v>9.416666667</v>
      </c>
      <c r="AA29" s="18">
        <f>IF(Z29=0,0, IF(Z29&gt;=LOOKUP(Q29,MinHr_Weekly_Bonus!A:A,MinHr_Weekly_Bonus!B:B), LOOKUP(Q29,MinHr_Weekly_Bonus!A:A,MinHr_Weekly_Bonus!C:C), 0))</f>
        <v>0</v>
      </c>
      <c r="AB29" s="15">
        <f t="shared" si="9"/>
        <v>248</v>
      </c>
      <c r="AC29" s="18" t="str">
        <f t="shared" si="10"/>
        <v/>
      </c>
    </row>
    <row r="30">
      <c r="A30" s="10" t="s">
        <v>36</v>
      </c>
      <c r="B30" s="12">
        <v>46039.0</v>
      </c>
      <c r="C30" s="10" t="s">
        <v>54</v>
      </c>
      <c r="D30" s="10" t="s">
        <v>8</v>
      </c>
      <c r="E30" s="10" t="s">
        <v>6</v>
      </c>
      <c r="F30" s="10" t="s">
        <v>7</v>
      </c>
      <c r="G30" s="10" t="s">
        <v>44</v>
      </c>
      <c r="H30" s="10" t="s">
        <v>42</v>
      </c>
      <c r="I30" s="13">
        <v>0.3958333333333333</v>
      </c>
      <c r="J30" s="13">
        <v>0.7777777777777778</v>
      </c>
      <c r="K30" s="10">
        <v>30.0</v>
      </c>
      <c r="L30" s="13">
        <v>0.4756944444444444</v>
      </c>
      <c r="M30" s="13">
        <v>0.7291666666666666</v>
      </c>
      <c r="N30" s="10">
        <v>90.0</v>
      </c>
      <c r="O30" s="10">
        <v>1.0</v>
      </c>
      <c r="P30" s="10">
        <v>82.0</v>
      </c>
      <c r="Q30" s="14">
        <f t="shared" si="1"/>
        <v>46045</v>
      </c>
      <c r="R30" s="15">
        <f t="shared" si="2"/>
        <v>8.666666667</v>
      </c>
      <c r="S30" s="16">
        <f>IFERROR(__xludf.DUMMYFUNCTION("IFERROR( INDEX( FILTER( Reference!$F:$F, Reference!$A:$A = $E30, Reference!$E:$E = $D30, Reference!$C:$C = $Q30),1),""RATE_NOT_FOUND"")"),24.0)</f>
        <v>24</v>
      </c>
      <c r="T30" s="15">
        <f t="shared" si="3"/>
        <v>208</v>
      </c>
      <c r="U30" s="15">
        <f t="shared" si="4"/>
        <v>4.583333333</v>
      </c>
      <c r="V30" s="17">
        <f t="shared" si="5"/>
        <v>17.89090909</v>
      </c>
      <c r="W30" s="18" t="str">
        <f t="shared" si="6"/>
        <v>Saturday</v>
      </c>
      <c r="X30" s="18">
        <f t="shared" si="7"/>
        <v>0</v>
      </c>
      <c r="Y30" s="14">
        <f>IFERROR(__xludf.DUMMYFUNCTION("IFERROR( INDEX( FILTER(Reference!$D:$D, Reference!$A:$A=$E30, Reference!$C:$C=$Q30), 1),"""")"),46052.0)</f>
        <v>46052</v>
      </c>
      <c r="Z30" s="18">
        <f t="shared" si="8"/>
        <v>9.583333333</v>
      </c>
      <c r="AA30" s="18">
        <f>IF(Z30=0,0, IF(Z30&gt;=LOOKUP(Q30,MinHr_Weekly_Bonus!A:A,MinHr_Weekly_Bonus!B:B), LOOKUP(Q30,MinHr_Weekly_Bonus!A:A,MinHr_Weekly_Bonus!C:C), 0))</f>
        <v>0</v>
      </c>
      <c r="AB30" s="15">
        <f t="shared" si="9"/>
        <v>208</v>
      </c>
      <c r="AC30" s="18" t="str">
        <f t="shared" si="10"/>
        <v/>
      </c>
    </row>
    <row r="31">
      <c r="A31" s="10" t="s">
        <v>36</v>
      </c>
      <c r="B31" s="12">
        <v>46039.0</v>
      </c>
      <c r="C31" s="10" t="s">
        <v>55</v>
      </c>
      <c r="D31" s="10" t="s">
        <v>8</v>
      </c>
      <c r="E31" s="10" t="s">
        <v>6</v>
      </c>
      <c r="F31" s="10" t="s">
        <v>7</v>
      </c>
      <c r="G31" s="10" t="s">
        <v>44</v>
      </c>
      <c r="H31" s="10" t="s">
        <v>42</v>
      </c>
      <c r="I31" s="13">
        <v>0.3958333333333333</v>
      </c>
      <c r="J31" s="13">
        <v>0.7569444444444444</v>
      </c>
      <c r="K31" s="10">
        <v>30.0</v>
      </c>
      <c r="L31" s="13">
        <v>0.4756944444444444</v>
      </c>
      <c r="M31" s="13">
        <v>0.7291666666666666</v>
      </c>
      <c r="N31" s="10">
        <v>90.0</v>
      </c>
      <c r="O31" s="10">
        <v>1.0</v>
      </c>
      <c r="P31" s="10">
        <v>109.0</v>
      </c>
      <c r="Q31" s="14">
        <f t="shared" si="1"/>
        <v>46045</v>
      </c>
      <c r="R31" s="15">
        <f t="shared" si="2"/>
        <v>8.166666667</v>
      </c>
      <c r="S31" s="16">
        <f>IFERROR(__xludf.DUMMYFUNCTION("IFERROR( INDEX( FILTER( Reference!$F:$F, Reference!$A:$A = $E31, Reference!$E:$E = $D31, Reference!$C:$C = $Q31),1),""RATE_NOT_FOUND"")"),24.0)</f>
        <v>24</v>
      </c>
      <c r="T31" s="15">
        <f t="shared" si="3"/>
        <v>196</v>
      </c>
      <c r="U31" s="15">
        <f t="shared" si="4"/>
        <v>4.583333333</v>
      </c>
      <c r="V31" s="17">
        <f t="shared" si="5"/>
        <v>23.78181818</v>
      </c>
      <c r="W31" s="18" t="str">
        <f t="shared" si="6"/>
        <v>Saturday</v>
      </c>
      <c r="X31" s="18">
        <f t="shared" si="7"/>
        <v>50</v>
      </c>
      <c r="Y31" s="14">
        <f>IFERROR(__xludf.DUMMYFUNCTION("IFERROR( INDEX( FILTER(Reference!$D:$D, Reference!$A:$A=$E31, Reference!$C:$C=$Q31), 1),"""")"),46052.0)</f>
        <v>46052</v>
      </c>
      <c r="Z31" s="18">
        <f t="shared" si="8"/>
        <v>4.583333333</v>
      </c>
      <c r="AA31" s="18">
        <f>IF(Z31=0,0, IF(Z31&gt;=LOOKUP(Q31,MinHr_Weekly_Bonus!A:A,MinHr_Weekly_Bonus!B:B), LOOKUP(Q31,MinHr_Weekly_Bonus!A:A,MinHr_Weekly_Bonus!C:C), 0))</f>
        <v>0</v>
      </c>
      <c r="AB31" s="15">
        <f t="shared" si="9"/>
        <v>246</v>
      </c>
      <c r="AC31" s="18" t="str">
        <f t="shared" si="10"/>
        <v/>
      </c>
    </row>
    <row r="32">
      <c r="A32" s="10" t="s">
        <v>36</v>
      </c>
      <c r="B32" s="12">
        <v>46039.0</v>
      </c>
      <c r="C32" s="10" t="s">
        <v>56</v>
      </c>
      <c r="D32" s="10" t="s">
        <v>8</v>
      </c>
      <c r="E32" s="10" t="s">
        <v>6</v>
      </c>
      <c r="F32" s="10" t="s">
        <v>7</v>
      </c>
      <c r="G32" s="10" t="s">
        <v>44</v>
      </c>
      <c r="H32" s="10" t="s">
        <v>42</v>
      </c>
      <c r="I32" s="13">
        <v>0.3958333333333333</v>
      </c>
      <c r="J32" s="13">
        <v>0.7638888888888888</v>
      </c>
      <c r="K32" s="10">
        <v>30.0</v>
      </c>
      <c r="L32" s="13">
        <v>0.4909722222222222</v>
      </c>
      <c r="M32" s="13">
        <v>0.7291666666666666</v>
      </c>
      <c r="N32" s="10">
        <v>50.0</v>
      </c>
      <c r="O32" s="10">
        <v>1.0</v>
      </c>
      <c r="P32" s="10">
        <v>111.0</v>
      </c>
      <c r="Q32" s="14">
        <f t="shared" si="1"/>
        <v>46045</v>
      </c>
      <c r="R32" s="15">
        <f t="shared" si="2"/>
        <v>8.333333333</v>
      </c>
      <c r="S32" s="16">
        <f>IFERROR(__xludf.DUMMYFUNCTION("IFERROR( INDEX( FILTER( Reference!$F:$F, Reference!$A:$A = $E32, Reference!$E:$E = $D32, Reference!$C:$C = $Q32),1),""RATE_NOT_FOUND"")"),24.0)</f>
        <v>24</v>
      </c>
      <c r="T32" s="15">
        <f t="shared" si="3"/>
        <v>200</v>
      </c>
      <c r="U32" s="15">
        <f t="shared" si="4"/>
        <v>4.883333333</v>
      </c>
      <c r="V32" s="17">
        <f t="shared" si="5"/>
        <v>22.73037543</v>
      </c>
      <c r="W32" s="18" t="str">
        <f t="shared" si="6"/>
        <v>Saturday</v>
      </c>
      <c r="X32" s="18">
        <f t="shared" si="7"/>
        <v>50</v>
      </c>
      <c r="Y32" s="14">
        <f>IFERROR(__xludf.DUMMYFUNCTION("IFERROR( INDEX( FILTER(Reference!$D:$D, Reference!$A:$A=$E32, Reference!$C:$C=$Q32), 1),"""")"),46052.0)</f>
        <v>46052</v>
      </c>
      <c r="Z32" s="18">
        <f t="shared" si="8"/>
        <v>14.21666667</v>
      </c>
      <c r="AA32" s="18">
        <f>IF(Z32=0,0, IF(Z32&gt;=LOOKUP(Q32,MinHr_Weekly_Bonus!A:A,MinHr_Weekly_Bonus!B:B), LOOKUP(Q32,MinHr_Weekly_Bonus!A:A,MinHr_Weekly_Bonus!C:C), 0))</f>
        <v>0</v>
      </c>
      <c r="AB32" s="15">
        <f t="shared" si="9"/>
        <v>250</v>
      </c>
      <c r="AC32" s="18" t="str">
        <f t="shared" si="10"/>
        <v/>
      </c>
    </row>
    <row r="33">
      <c r="A33" s="10" t="s">
        <v>36</v>
      </c>
      <c r="B33" s="12">
        <v>46039.0</v>
      </c>
      <c r="C33" s="10" t="s">
        <v>57</v>
      </c>
      <c r="D33" s="10" t="s">
        <v>8</v>
      </c>
      <c r="E33" s="10" t="s">
        <v>6</v>
      </c>
      <c r="F33" s="10" t="s">
        <v>7</v>
      </c>
      <c r="G33" s="10" t="s">
        <v>44</v>
      </c>
      <c r="H33" s="10" t="s">
        <v>42</v>
      </c>
      <c r="I33" s="13">
        <v>0.3958333333333333</v>
      </c>
      <c r="J33" s="13">
        <v>0.7673611111111112</v>
      </c>
      <c r="K33" s="10">
        <v>30.0</v>
      </c>
      <c r="L33" s="13">
        <v>0.4909722222222222</v>
      </c>
      <c r="M33" s="13">
        <v>0.7291666666666666</v>
      </c>
      <c r="N33" s="10">
        <v>50.0</v>
      </c>
      <c r="O33" s="10">
        <v>1.0</v>
      </c>
      <c r="P33" s="10">
        <v>72.0</v>
      </c>
      <c r="Q33" s="14">
        <f t="shared" si="1"/>
        <v>46045</v>
      </c>
      <c r="R33" s="15">
        <f t="shared" si="2"/>
        <v>8.416666667</v>
      </c>
      <c r="S33" s="16">
        <f>IFERROR(__xludf.DUMMYFUNCTION("IFERROR( INDEX( FILTER( Reference!$F:$F, Reference!$A:$A = $E33, Reference!$E:$E = $D33, Reference!$C:$C = $Q33),1),""RATE_NOT_FOUND"")"),24.0)</f>
        <v>24</v>
      </c>
      <c r="T33" s="15">
        <f t="shared" si="3"/>
        <v>202</v>
      </c>
      <c r="U33" s="15">
        <f t="shared" si="4"/>
        <v>4.883333333</v>
      </c>
      <c r="V33" s="17">
        <f t="shared" si="5"/>
        <v>14.7440273</v>
      </c>
      <c r="W33" s="18" t="str">
        <f t="shared" si="6"/>
        <v>Saturday</v>
      </c>
      <c r="X33" s="18">
        <f t="shared" si="7"/>
        <v>0</v>
      </c>
      <c r="Y33" s="14">
        <f>IFERROR(__xludf.DUMMYFUNCTION("IFERROR( INDEX( FILTER(Reference!$D:$D, Reference!$A:$A=$E33, Reference!$C:$C=$Q33), 1),"""")"),46052.0)</f>
        <v>46052</v>
      </c>
      <c r="Z33" s="18">
        <f t="shared" si="8"/>
        <v>15.13333333</v>
      </c>
      <c r="AA33" s="18">
        <f>IF(Z33=0,0, IF(Z33&gt;=LOOKUP(Q33,MinHr_Weekly_Bonus!A:A,MinHr_Weekly_Bonus!B:B), LOOKUP(Q33,MinHr_Weekly_Bonus!A:A,MinHr_Weekly_Bonus!C:C), 0))</f>
        <v>0</v>
      </c>
      <c r="AB33" s="15">
        <f t="shared" si="9"/>
        <v>202</v>
      </c>
      <c r="AC33" s="18" t="str">
        <f t="shared" si="10"/>
        <v/>
      </c>
    </row>
    <row r="34">
      <c r="A34" s="10" t="s">
        <v>36</v>
      </c>
      <c r="B34" s="12">
        <v>46039.0</v>
      </c>
      <c r="C34" s="10" t="s">
        <v>58</v>
      </c>
      <c r="D34" s="10" t="s">
        <v>8</v>
      </c>
      <c r="E34" s="10" t="s">
        <v>6</v>
      </c>
      <c r="F34" s="10" t="s">
        <v>7</v>
      </c>
      <c r="G34" s="10" t="s">
        <v>44</v>
      </c>
      <c r="H34" s="10" t="s">
        <v>42</v>
      </c>
      <c r="I34" s="13">
        <v>0.3958333333333333</v>
      </c>
      <c r="J34" s="13">
        <v>0.7708333333333334</v>
      </c>
      <c r="K34" s="10">
        <v>30.0</v>
      </c>
      <c r="L34" s="13">
        <v>0.47847222222222224</v>
      </c>
      <c r="M34" s="13">
        <v>0.7291666666666666</v>
      </c>
      <c r="N34" s="10">
        <v>60.0</v>
      </c>
      <c r="O34" s="10">
        <v>1.0</v>
      </c>
      <c r="P34" s="10">
        <v>97.0</v>
      </c>
      <c r="Q34" s="14">
        <f t="shared" si="1"/>
        <v>46045</v>
      </c>
      <c r="R34" s="15">
        <f t="shared" si="2"/>
        <v>8.5</v>
      </c>
      <c r="S34" s="16">
        <f>IFERROR(__xludf.DUMMYFUNCTION("IFERROR( INDEX( FILTER( Reference!$F:$F, Reference!$A:$A = $E34, Reference!$E:$E = $D34, Reference!$C:$C = $Q34),1),""RATE_NOT_FOUND"")"),24.0)</f>
        <v>24</v>
      </c>
      <c r="T34" s="15">
        <f t="shared" si="3"/>
        <v>204</v>
      </c>
      <c r="U34" s="15">
        <f t="shared" si="4"/>
        <v>5.016666667</v>
      </c>
      <c r="V34" s="17">
        <f t="shared" si="5"/>
        <v>19.33554817</v>
      </c>
      <c r="W34" s="18" t="str">
        <f t="shared" si="6"/>
        <v>Saturday</v>
      </c>
      <c r="X34" s="18">
        <f t="shared" si="7"/>
        <v>50</v>
      </c>
      <c r="Y34" s="14">
        <f>IFERROR(__xludf.DUMMYFUNCTION("IFERROR( INDEX( FILTER(Reference!$D:$D, Reference!$A:$A=$E34, Reference!$C:$C=$Q34), 1),"""")"),46052.0)</f>
        <v>46052</v>
      </c>
      <c r="Z34" s="18">
        <f t="shared" si="8"/>
        <v>24.71666667</v>
      </c>
      <c r="AA34" s="18">
        <f>IF(Z34=0,0, IF(Z34&gt;=LOOKUP(Q34,MinHr_Weekly_Bonus!A:A,MinHr_Weekly_Bonus!B:B), LOOKUP(Q34,MinHr_Weekly_Bonus!A:A,MinHr_Weekly_Bonus!C:C), 0))</f>
        <v>100</v>
      </c>
      <c r="AB34" s="15">
        <f t="shared" si="9"/>
        <v>254</v>
      </c>
      <c r="AC34" s="18" t="str">
        <f t="shared" si="10"/>
        <v/>
      </c>
    </row>
    <row r="35">
      <c r="A35" s="10" t="s">
        <v>36</v>
      </c>
      <c r="B35" s="12">
        <v>46039.0</v>
      </c>
      <c r="C35" s="10" t="s">
        <v>37</v>
      </c>
      <c r="D35" s="10" t="s">
        <v>9</v>
      </c>
      <c r="E35" s="10" t="s">
        <v>11</v>
      </c>
      <c r="F35" s="10" t="s">
        <v>7</v>
      </c>
      <c r="G35" s="10" t="s">
        <v>44</v>
      </c>
      <c r="H35" s="10" t="s">
        <v>37</v>
      </c>
      <c r="I35" s="13">
        <v>0.4236111111111111</v>
      </c>
      <c r="J35" s="13">
        <v>0.7819444444444444</v>
      </c>
      <c r="K35" s="10">
        <v>30.0</v>
      </c>
      <c r="L35" s="13">
        <v>0.47847222222222224</v>
      </c>
      <c r="M35" s="13">
        <v>0.7291666666666666</v>
      </c>
      <c r="N35" s="10">
        <v>75.0</v>
      </c>
      <c r="O35" s="10">
        <v>1.0</v>
      </c>
      <c r="P35" s="10">
        <v>66.0</v>
      </c>
      <c r="Q35" s="14">
        <f t="shared" si="1"/>
        <v>46045</v>
      </c>
      <c r="R35" s="15">
        <f t="shared" si="2"/>
        <v>8.1</v>
      </c>
      <c r="S35" s="16">
        <f>IFERROR(__xludf.DUMMYFUNCTION("IFERROR( INDEX( FILTER( Reference!$F:$F, Reference!$A:$A = $E35, Reference!$E:$E = $D35, Reference!$C:$C = $Q35),1),""RATE_NOT_FOUND"")"),26.0)</f>
        <v>26</v>
      </c>
      <c r="T35" s="15">
        <f t="shared" si="3"/>
        <v>210.6</v>
      </c>
      <c r="U35" s="15">
        <f t="shared" si="4"/>
        <v>4.766666667</v>
      </c>
      <c r="V35" s="17">
        <f t="shared" si="5"/>
        <v>13.84615385</v>
      </c>
      <c r="W35" s="18" t="str">
        <f t="shared" si="6"/>
        <v>Saturday</v>
      </c>
      <c r="X35" s="18">
        <f t="shared" si="7"/>
        <v>0</v>
      </c>
      <c r="Y35" s="14">
        <f>IFERROR(__xludf.DUMMYFUNCTION("IFERROR( INDEX( FILTER(Reference!$D:$D, Reference!$A:$A=$E35, Reference!$C:$C=$Q35), 1),"""")"),46052.0)</f>
        <v>46052</v>
      </c>
      <c r="Z35" s="18">
        <f t="shared" si="8"/>
        <v>24.43333333</v>
      </c>
      <c r="AA35" s="18">
        <f>IF(Z35=0,0, IF(Z35&gt;=LOOKUP(Q35,MinHr_Weekly_Bonus!A:A,MinHr_Weekly_Bonus!B:B), LOOKUP(Q35,MinHr_Weekly_Bonus!A:A,MinHr_Weekly_Bonus!C:C), 0))</f>
        <v>100</v>
      </c>
      <c r="AB35" s="15">
        <f t="shared" si="9"/>
        <v>210.6</v>
      </c>
      <c r="AC35" s="18" t="str">
        <f t="shared" si="10"/>
        <v/>
      </c>
    </row>
    <row r="36">
      <c r="A36" s="10" t="s">
        <v>36</v>
      </c>
      <c r="B36" s="12">
        <v>46039.0</v>
      </c>
      <c r="C36" s="10" t="s">
        <v>52</v>
      </c>
      <c r="D36" s="10" t="s">
        <v>8</v>
      </c>
      <c r="E36" s="10" t="s">
        <v>11</v>
      </c>
      <c r="F36" s="10" t="s">
        <v>7</v>
      </c>
      <c r="G36" s="10" t="s">
        <v>44</v>
      </c>
      <c r="H36" s="10" t="s">
        <v>37</v>
      </c>
      <c r="I36" s="13">
        <v>0.4486111111111111</v>
      </c>
      <c r="J36" s="13">
        <v>0.7868055555555555</v>
      </c>
      <c r="K36" s="10">
        <v>30.0</v>
      </c>
      <c r="L36" s="13">
        <v>0.47847222222222224</v>
      </c>
      <c r="M36" s="13">
        <v>0.7291666666666666</v>
      </c>
      <c r="N36" s="10">
        <v>50.0</v>
      </c>
      <c r="O36" s="10">
        <v>1.0</v>
      </c>
      <c r="P36" s="10">
        <v>57.0</v>
      </c>
      <c r="Q36" s="14">
        <f t="shared" si="1"/>
        <v>46045</v>
      </c>
      <c r="R36" s="15">
        <f t="shared" si="2"/>
        <v>7.616666667</v>
      </c>
      <c r="S36" s="16">
        <f>IFERROR(__xludf.DUMMYFUNCTION("IFERROR( INDEX( FILTER( Reference!$F:$F, Reference!$A:$A = $E36, Reference!$E:$E = $D36, Reference!$C:$C = $Q36),1),""RATE_NOT_FOUND"")"),24.0)</f>
        <v>24</v>
      </c>
      <c r="T36" s="15">
        <f t="shared" si="3"/>
        <v>182.8</v>
      </c>
      <c r="U36" s="15">
        <f t="shared" si="4"/>
        <v>5.183333333</v>
      </c>
      <c r="V36" s="17">
        <f t="shared" si="5"/>
        <v>10.99678457</v>
      </c>
      <c r="W36" s="18" t="str">
        <f t="shared" si="6"/>
        <v>Saturday</v>
      </c>
      <c r="X36" s="18">
        <f t="shared" si="7"/>
        <v>0</v>
      </c>
      <c r="Y36" s="14">
        <f>IFERROR(__xludf.DUMMYFUNCTION("IFERROR( INDEX( FILTER(Reference!$D:$D, Reference!$A:$A=$E36, Reference!$C:$C=$Q36), 1),"""")"),46052.0)</f>
        <v>46052</v>
      </c>
      <c r="Z36" s="18">
        <f t="shared" si="8"/>
        <v>25.35</v>
      </c>
      <c r="AA36" s="18">
        <f>IF(Z36=0,0, IF(Z36&gt;=LOOKUP(Q36,MinHr_Weekly_Bonus!A:A,MinHr_Weekly_Bonus!B:B), LOOKUP(Q36,MinHr_Weekly_Bonus!A:A,MinHr_Weekly_Bonus!C:C), 0))</f>
        <v>100</v>
      </c>
      <c r="AB36" s="15">
        <f t="shared" si="9"/>
        <v>182.8</v>
      </c>
      <c r="AC36" s="18" t="str">
        <f t="shared" si="10"/>
        <v/>
      </c>
    </row>
    <row r="37">
      <c r="A37" s="10" t="s">
        <v>36</v>
      </c>
      <c r="B37" s="12">
        <v>46039.0</v>
      </c>
      <c r="C37" s="10" t="s">
        <v>59</v>
      </c>
      <c r="D37" s="10" t="s">
        <v>8</v>
      </c>
      <c r="E37" s="10" t="s">
        <v>11</v>
      </c>
      <c r="F37" s="10" t="s">
        <v>7</v>
      </c>
      <c r="G37" s="10" t="s">
        <v>44</v>
      </c>
      <c r="H37" s="10" t="s">
        <v>37</v>
      </c>
      <c r="I37" s="13">
        <v>0.3958333333333333</v>
      </c>
      <c r="J37" s="13">
        <v>0.7756944444444445</v>
      </c>
      <c r="K37" s="10">
        <v>30.0</v>
      </c>
      <c r="L37" s="13">
        <v>0.4826388888888889</v>
      </c>
      <c r="M37" s="13">
        <v>0.7291666666666666</v>
      </c>
      <c r="N37" s="10">
        <v>50.0</v>
      </c>
      <c r="O37" s="10">
        <v>1.0</v>
      </c>
      <c r="P37" s="10">
        <v>55.0</v>
      </c>
      <c r="Q37" s="14">
        <f t="shared" si="1"/>
        <v>46045</v>
      </c>
      <c r="R37" s="15">
        <f t="shared" si="2"/>
        <v>8.616666667</v>
      </c>
      <c r="S37" s="16">
        <f>IFERROR(__xludf.DUMMYFUNCTION("IFERROR( INDEX( FILTER( Reference!$F:$F, Reference!$A:$A = $E37, Reference!$E:$E = $D37, Reference!$C:$C = $Q37),1),""RATE_NOT_FOUND"")"),24.0)</f>
        <v>24</v>
      </c>
      <c r="T37" s="15">
        <f t="shared" si="3"/>
        <v>206.8</v>
      </c>
      <c r="U37" s="15">
        <f t="shared" si="4"/>
        <v>5.083333333</v>
      </c>
      <c r="V37" s="17">
        <f t="shared" si="5"/>
        <v>10.81967213</v>
      </c>
      <c r="W37" s="18" t="str">
        <f t="shared" si="6"/>
        <v>Saturday</v>
      </c>
      <c r="X37" s="18">
        <f t="shared" si="7"/>
        <v>0</v>
      </c>
      <c r="Y37" s="14">
        <f>IFERROR(__xludf.DUMMYFUNCTION("IFERROR( INDEX( FILTER(Reference!$D:$D, Reference!$A:$A=$E37, Reference!$C:$C=$Q37), 1),"""")"),46052.0)</f>
        <v>46052</v>
      </c>
      <c r="Z37" s="18">
        <f t="shared" si="8"/>
        <v>19.16666667</v>
      </c>
      <c r="AA37" s="18">
        <f>IF(Z37=0,0, IF(Z37&gt;=LOOKUP(Q37,MinHr_Weekly_Bonus!A:A,MinHr_Weekly_Bonus!B:B), LOOKUP(Q37,MinHr_Weekly_Bonus!A:A,MinHr_Weekly_Bonus!C:C), 0))</f>
        <v>0</v>
      </c>
      <c r="AB37" s="15">
        <f t="shared" si="9"/>
        <v>206.8</v>
      </c>
      <c r="AC37" s="18" t="str">
        <f t="shared" si="10"/>
        <v/>
      </c>
    </row>
    <row r="38">
      <c r="A38" s="10" t="s">
        <v>36</v>
      </c>
      <c r="B38" s="12">
        <v>46039.0</v>
      </c>
      <c r="C38" s="10" t="s">
        <v>60</v>
      </c>
      <c r="D38" s="10" t="s">
        <v>8</v>
      </c>
      <c r="E38" s="10" t="s">
        <v>11</v>
      </c>
      <c r="F38" s="10" t="s">
        <v>7</v>
      </c>
      <c r="G38" s="10" t="s">
        <v>44</v>
      </c>
      <c r="H38" s="10" t="s">
        <v>37</v>
      </c>
      <c r="I38" s="13">
        <v>0.3958333333333333</v>
      </c>
      <c r="J38" s="13">
        <v>0.78125</v>
      </c>
      <c r="K38" s="10">
        <v>30.0</v>
      </c>
      <c r="L38" s="13">
        <v>0.4826388888888889</v>
      </c>
      <c r="M38" s="13">
        <v>0.7291666666666666</v>
      </c>
      <c r="N38" s="10">
        <v>50.0</v>
      </c>
      <c r="O38" s="10">
        <v>1.0</v>
      </c>
      <c r="P38" s="10">
        <v>106.0</v>
      </c>
      <c r="Q38" s="14">
        <f t="shared" si="1"/>
        <v>46045</v>
      </c>
      <c r="R38" s="15">
        <f t="shared" si="2"/>
        <v>8.75</v>
      </c>
      <c r="S38" s="16">
        <f>IFERROR(__xludf.DUMMYFUNCTION("IFERROR( INDEX( FILTER( Reference!$F:$F, Reference!$A:$A = $E38, Reference!$E:$E = $D38, Reference!$C:$C = $Q38),1),""RATE_NOT_FOUND"")"),24.0)</f>
        <v>24</v>
      </c>
      <c r="T38" s="15">
        <f t="shared" si="3"/>
        <v>210</v>
      </c>
      <c r="U38" s="15">
        <f t="shared" si="4"/>
        <v>5.083333333</v>
      </c>
      <c r="V38" s="17">
        <f t="shared" si="5"/>
        <v>20.85245902</v>
      </c>
      <c r="W38" s="18" t="str">
        <f t="shared" si="6"/>
        <v>Saturday</v>
      </c>
      <c r="X38" s="18">
        <f t="shared" si="7"/>
        <v>50</v>
      </c>
      <c r="Y38" s="14">
        <f>IFERROR(__xludf.DUMMYFUNCTION("IFERROR( INDEX( FILTER(Reference!$D:$D, Reference!$A:$A=$E38, Reference!$C:$C=$Q38), 1),"""")"),46052.0)</f>
        <v>46052</v>
      </c>
      <c r="Z38" s="18">
        <f t="shared" si="8"/>
        <v>5.083333333</v>
      </c>
      <c r="AA38" s="18">
        <f>IF(Z38=0,0, IF(Z38&gt;=LOOKUP(Q38,MinHr_Weekly_Bonus!A:A,MinHr_Weekly_Bonus!B:B), LOOKUP(Q38,MinHr_Weekly_Bonus!A:A,MinHr_Weekly_Bonus!C:C), 0))</f>
        <v>0</v>
      </c>
      <c r="AB38" s="15">
        <f t="shared" si="9"/>
        <v>260</v>
      </c>
      <c r="AC38" s="18" t="str">
        <f t="shared" si="10"/>
        <v/>
      </c>
    </row>
    <row r="39">
      <c r="A39" s="10" t="s">
        <v>36</v>
      </c>
      <c r="B39" s="12">
        <v>46039.0</v>
      </c>
      <c r="C39" s="10" t="s">
        <v>51</v>
      </c>
      <c r="D39" s="10" t="s">
        <v>8</v>
      </c>
      <c r="E39" s="10" t="s">
        <v>11</v>
      </c>
      <c r="F39" s="10" t="s">
        <v>7</v>
      </c>
      <c r="G39" s="10" t="s">
        <v>44</v>
      </c>
      <c r="H39" s="10" t="s">
        <v>37</v>
      </c>
      <c r="I39" s="13">
        <v>0.44583333333333336</v>
      </c>
      <c r="J39" s="13">
        <v>0.8243055555555555</v>
      </c>
      <c r="K39" s="10">
        <v>30.0</v>
      </c>
      <c r="L39" s="13">
        <v>0.4826388888888889</v>
      </c>
      <c r="M39" s="13">
        <v>0.7291666666666666</v>
      </c>
      <c r="N39" s="10">
        <v>50.0</v>
      </c>
      <c r="O39" s="10">
        <v>1.0</v>
      </c>
      <c r="P39" s="10">
        <v>110.0</v>
      </c>
      <c r="Q39" s="14">
        <f t="shared" si="1"/>
        <v>46045</v>
      </c>
      <c r="R39" s="15">
        <f t="shared" si="2"/>
        <v>8.583333333</v>
      </c>
      <c r="S39" s="16">
        <f>IFERROR(__xludf.DUMMYFUNCTION("IFERROR( INDEX( FILTER( Reference!$F:$F, Reference!$A:$A = $E39, Reference!$E:$E = $D39, Reference!$C:$C = $Q39),1),""RATE_NOT_FOUND"")"),24.0)</f>
        <v>24</v>
      </c>
      <c r="T39" s="15">
        <f t="shared" si="3"/>
        <v>206</v>
      </c>
      <c r="U39" s="15">
        <f t="shared" si="4"/>
        <v>5.083333333</v>
      </c>
      <c r="V39" s="17">
        <f t="shared" si="5"/>
        <v>21.63934426</v>
      </c>
      <c r="W39" s="18" t="str">
        <f t="shared" si="6"/>
        <v>Saturday</v>
      </c>
      <c r="X39" s="18">
        <f t="shared" si="7"/>
        <v>50</v>
      </c>
      <c r="Y39" s="14">
        <f>IFERROR(__xludf.DUMMYFUNCTION("IFERROR( INDEX( FILTER(Reference!$D:$D, Reference!$A:$A=$E39, Reference!$C:$C=$Q39), 1),"""")"),46052.0)</f>
        <v>46052</v>
      </c>
      <c r="Z39" s="18">
        <f t="shared" si="8"/>
        <v>19.36666667</v>
      </c>
      <c r="AA39" s="18">
        <f>IF(Z39=0,0, IF(Z39&gt;=LOOKUP(Q39,MinHr_Weekly_Bonus!A:A,MinHr_Weekly_Bonus!B:B), LOOKUP(Q39,MinHr_Weekly_Bonus!A:A,MinHr_Weekly_Bonus!C:C), 0))</f>
        <v>0</v>
      </c>
      <c r="AB39" s="15">
        <f t="shared" si="9"/>
        <v>256</v>
      </c>
      <c r="AC39" s="18" t="str">
        <f t="shared" si="10"/>
        <v/>
      </c>
    </row>
    <row r="40">
      <c r="A40" s="10" t="s">
        <v>36</v>
      </c>
      <c r="B40" s="12">
        <v>46039.0</v>
      </c>
      <c r="C40" s="10" t="s">
        <v>45</v>
      </c>
      <c r="D40" s="10" t="s">
        <v>8</v>
      </c>
      <c r="E40" s="10" t="s">
        <v>11</v>
      </c>
      <c r="F40" s="10" t="s">
        <v>7</v>
      </c>
      <c r="G40" s="10" t="s">
        <v>44</v>
      </c>
      <c r="H40" s="10" t="s">
        <v>37</v>
      </c>
      <c r="I40" s="13">
        <v>0.4465277777777778</v>
      </c>
      <c r="J40" s="13">
        <v>0.7916666666666666</v>
      </c>
      <c r="K40" s="10">
        <v>30.0</v>
      </c>
      <c r="L40" s="13">
        <v>0.4861111111111111</v>
      </c>
      <c r="M40" s="13">
        <v>0.7291666666666666</v>
      </c>
      <c r="N40" s="10">
        <v>60.0</v>
      </c>
      <c r="O40" s="10">
        <v>1.0</v>
      </c>
      <c r="P40" s="10">
        <v>52.0</v>
      </c>
      <c r="Q40" s="14">
        <f t="shared" si="1"/>
        <v>46045</v>
      </c>
      <c r="R40" s="15">
        <f t="shared" si="2"/>
        <v>7.783333333</v>
      </c>
      <c r="S40" s="16">
        <f>IFERROR(__xludf.DUMMYFUNCTION("IFERROR( INDEX( FILTER( Reference!$F:$F, Reference!$A:$A = $E40, Reference!$E:$E = $D40, Reference!$C:$C = $Q40),1),""RATE_NOT_FOUND"")"),24.0)</f>
        <v>24</v>
      </c>
      <c r="T40" s="15">
        <f t="shared" si="3"/>
        <v>186.8</v>
      </c>
      <c r="U40" s="15">
        <f t="shared" si="4"/>
        <v>4.833333333</v>
      </c>
      <c r="V40" s="17">
        <f t="shared" si="5"/>
        <v>10.75862069</v>
      </c>
      <c r="W40" s="18" t="str">
        <f t="shared" si="6"/>
        <v>Saturday</v>
      </c>
      <c r="X40" s="18">
        <f t="shared" si="7"/>
        <v>0</v>
      </c>
      <c r="Y40" s="14">
        <f>IFERROR(__xludf.DUMMYFUNCTION("IFERROR( INDEX( FILTER(Reference!$D:$D, Reference!$A:$A=$E40, Reference!$C:$C=$Q40), 1),"""")"),46052.0)</f>
        <v>46052</v>
      </c>
      <c r="Z40" s="18">
        <f t="shared" si="8"/>
        <v>4.833333333</v>
      </c>
      <c r="AA40" s="18">
        <f>IF(Z40=0,0, IF(Z40&gt;=LOOKUP(Q40,MinHr_Weekly_Bonus!A:A,MinHr_Weekly_Bonus!B:B), LOOKUP(Q40,MinHr_Weekly_Bonus!A:A,MinHr_Weekly_Bonus!C:C), 0))</f>
        <v>0</v>
      </c>
      <c r="AB40" s="15">
        <f t="shared" si="9"/>
        <v>186.8</v>
      </c>
      <c r="AC40" s="18" t="str">
        <f t="shared" si="10"/>
        <v/>
      </c>
    </row>
    <row r="41">
      <c r="A41" s="10" t="s">
        <v>36</v>
      </c>
      <c r="B41" s="12">
        <v>46039.0</v>
      </c>
      <c r="C41" s="10" t="s">
        <v>61</v>
      </c>
      <c r="D41" s="10" t="s">
        <v>10</v>
      </c>
      <c r="E41" s="10" t="s">
        <v>6</v>
      </c>
      <c r="F41" s="10" t="s">
        <v>7</v>
      </c>
      <c r="G41" s="10" t="s">
        <v>44</v>
      </c>
      <c r="I41" s="13">
        <v>0.6458333333333334</v>
      </c>
      <c r="J41" s="13">
        <v>0.8333333333333334</v>
      </c>
      <c r="K41" s="10">
        <v>0.0</v>
      </c>
      <c r="O41" s="10">
        <v>1.0</v>
      </c>
      <c r="Q41" s="14">
        <f t="shared" si="1"/>
        <v>46045</v>
      </c>
      <c r="R41" s="15">
        <f t="shared" si="2"/>
        <v>4.5</v>
      </c>
      <c r="S41" s="16">
        <f>IFERROR(__xludf.DUMMYFUNCTION("IFERROR( INDEX( FILTER( Reference!$F:$F, Reference!$A:$A = $E41, Reference!$E:$E = $D41, Reference!$C:$C = $Q41),1),""RATE_NOT_FOUND"")"),22.0)</f>
        <v>22</v>
      </c>
      <c r="T41" s="15">
        <f t="shared" si="3"/>
        <v>99</v>
      </c>
      <c r="U41" s="15">
        <f t="shared" si="4"/>
        <v>0</v>
      </c>
      <c r="V41" s="17">
        <f t="shared" si="5"/>
        <v>0</v>
      </c>
      <c r="W41" s="18" t="str">
        <f t="shared" si="6"/>
        <v>Saturday</v>
      </c>
      <c r="X41" s="18">
        <f t="shared" si="7"/>
        <v>0</v>
      </c>
      <c r="Y41" s="14">
        <f>IFERROR(__xludf.DUMMYFUNCTION("IFERROR( INDEX( FILTER(Reference!$D:$D, Reference!$A:$A=$E41, Reference!$C:$C=$Q41), 1),"""")"),46052.0)</f>
        <v>46052</v>
      </c>
      <c r="Z41" s="18">
        <f t="shared" si="8"/>
        <v>0</v>
      </c>
      <c r="AA41" s="18">
        <f>IF(Z41=0,0, IF(Z41&gt;=LOOKUP(Q41,MinHr_Weekly_Bonus!A:A,MinHr_Weekly_Bonus!B:B), LOOKUP(Q41,MinHr_Weekly_Bonus!A:A,MinHr_Weekly_Bonus!C:C), 0))</f>
        <v>0</v>
      </c>
      <c r="AB41" s="15">
        <f t="shared" si="9"/>
        <v>99</v>
      </c>
      <c r="AC41" s="18" t="str">
        <f t="shared" si="10"/>
        <v/>
      </c>
    </row>
    <row r="42">
      <c r="A42" s="10" t="s">
        <v>36</v>
      </c>
      <c r="B42" s="12">
        <v>46040.0</v>
      </c>
      <c r="C42" s="10" t="s">
        <v>48</v>
      </c>
      <c r="D42" s="10" t="s">
        <v>9</v>
      </c>
      <c r="E42" s="10" t="s">
        <v>11</v>
      </c>
      <c r="F42" s="10" t="s">
        <v>7</v>
      </c>
      <c r="G42" s="10" t="s">
        <v>44</v>
      </c>
      <c r="H42" s="10" t="s">
        <v>48</v>
      </c>
      <c r="I42" s="13">
        <v>0.4444444444444444</v>
      </c>
      <c r="J42" s="13">
        <v>0.7451388888888889</v>
      </c>
      <c r="K42" s="10">
        <v>30.0</v>
      </c>
      <c r="L42" s="13">
        <v>0.4791666666666667</v>
      </c>
      <c r="M42" s="13">
        <v>0.7222222222222222</v>
      </c>
      <c r="N42" s="10">
        <v>60.0</v>
      </c>
      <c r="O42" s="10">
        <v>1.0</v>
      </c>
      <c r="P42" s="10">
        <v>75.0</v>
      </c>
      <c r="Q42" s="14">
        <f t="shared" si="1"/>
        <v>46045</v>
      </c>
      <c r="R42" s="15">
        <f t="shared" si="2"/>
        <v>6.716666667</v>
      </c>
      <c r="S42" s="16">
        <f>IFERROR(__xludf.DUMMYFUNCTION("IFERROR( INDEX( FILTER( Reference!$F:$F, Reference!$A:$A = $E42, Reference!$E:$E = $D42, Reference!$C:$C = $Q42),1),""RATE_NOT_FOUND"")"),26.0)</f>
        <v>26</v>
      </c>
      <c r="T42" s="15">
        <f t="shared" si="3"/>
        <v>174.6333333</v>
      </c>
      <c r="U42" s="15">
        <f t="shared" si="4"/>
        <v>4.833333333</v>
      </c>
      <c r="V42" s="17">
        <f t="shared" si="5"/>
        <v>15.51724138</v>
      </c>
      <c r="W42" s="18" t="str">
        <f t="shared" si="6"/>
        <v>Sunday</v>
      </c>
      <c r="X42" s="18">
        <f t="shared" si="7"/>
        <v>0</v>
      </c>
      <c r="Y42" s="14">
        <f>IFERROR(__xludf.DUMMYFUNCTION("IFERROR( INDEX( FILTER(Reference!$D:$D, Reference!$A:$A=$E42, Reference!$C:$C=$Q42), 1),"""")"),46052.0)</f>
        <v>46052</v>
      </c>
      <c r="Z42" s="18">
        <f t="shared" si="8"/>
        <v>19.75</v>
      </c>
      <c r="AA42" s="18">
        <f>IF(Z42=0,0, IF(Z42&gt;=LOOKUP(Q42,MinHr_Weekly_Bonus!A:A,MinHr_Weekly_Bonus!B:B), LOOKUP(Q42,MinHr_Weekly_Bonus!A:A,MinHr_Weekly_Bonus!C:C), 0))</f>
        <v>0</v>
      </c>
      <c r="AB42" s="15">
        <f t="shared" si="9"/>
        <v>174.6333333</v>
      </c>
      <c r="AC42" s="18" t="str">
        <f t="shared" si="10"/>
        <v/>
      </c>
    </row>
    <row r="43">
      <c r="A43" s="10" t="s">
        <v>36</v>
      </c>
      <c r="B43" s="12">
        <v>46040.0</v>
      </c>
      <c r="C43" s="10" t="s">
        <v>59</v>
      </c>
      <c r="D43" s="10" t="s">
        <v>8</v>
      </c>
      <c r="E43" s="10" t="s">
        <v>11</v>
      </c>
      <c r="F43" s="10" t="s">
        <v>7</v>
      </c>
      <c r="G43" s="10" t="s">
        <v>44</v>
      </c>
      <c r="H43" s="10" t="s">
        <v>48</v>
      </c>
      <c r="I43" s="13">
        <v>0.3958333333333333</v>
      </c>
      <c r="J43" s="13">
        <v>0.7395833333333334</v>
      </c>
      <c r="K43" s="10">
        <v>30.0</v>
      </c>
      <c r="L43" s="13">
        <v>0.4826388888888889</v>
      </c>
      <c r="M43" s="13">
        <v>0.7152777777777778</v>
      </c>
      <c r="N43" s="10">
        <v>50.0</v>
      </c>
      <c r="O43" s="10">
        <v>1.0</v>
      </c>
      <c r="P43" s="10">
        <v>106.0</v>
      </c>
      <c r="Q43" s="14">
        <f t="shared" si="1"/>
        <v>46045</v>
      </c>
      <c r="R43" s="15">
        <f t="shared" si="2"/>
        <v>7.75</v>
      </c>
      <c r="S43" s="16">
        <f>IFERROR(__xludf.DUMMYFUNCTION("IFERROR( INDEX( FILTER( Reference!$F:$F, Reference!$A:$A = $E43, Reference!$E:$E = $D43, Reference!$C:$C = $Q43),1),""RATE_NOT_FOUND"")"),24.0)</f>
        <v>24</v>
      </c>
      <c r="T43" s="15">
        <f t="shared" si="3"/>
        <v>186</v>
      </c>
      <c r="U43" s="15">
        <f t="shared" si="4"/>
        <v>4.75</v>
      </c>
      <c r="V43" s="17">
        <f t="shared" si="5"/>
        <v>22.31578947</v>
      </c>
      <c r="W43" s="18" t="str">
        <f t="shared" si="6"/>
        <v>Sunday</v>
      </c>
      <c r="X43" s="18">
        <f t="shared" si="7"/>
        <v>0</v>
      </c>
      <c r="Y43" s="14">
        <f>IFERROR(__xludf.DUMMYFUNCTION("IFERROR( INDEX( FILTER(Reference!$D:$D, Reference!$A:$A=$E43, Reference!$C:$C=$Q43), 1),"""")"),46052.0)</f>
        <v>46052</v>
      </c>
      <c r="Z43" s="18">
        <f t="shared" si="8"/>
        <v>19.16666667</v>
      </c>
      <c r="AA43" s="18">
        <f>IF(Z43=0,0, IF(Z43&gt;=LOOKUP(Q43,MinHr_Weekly_Bonus!A:A,MinHr_Weekly_Bonus!B:B), LOOKUP(Q43,MinHr_Weekly_Bonus!A:A,MinHr_Weekly_Bonus!C:C), 0))</f>
        <v>0</v>
      </c>
      <c r="AB43" s="15">
        <f t="shared" si="9"/>
        <v>186</v>
      </c>
      <c r="AC43" s="18" t="str">
        <f t="shared" si="10"/>
        <v/>
      </c>
    </row>
    <row r="44">
      <c r="A44" s="10" t="s">
        <v>36</v>
      </c>
      <c r="B44" s="12">
        <v>46040.0</v>
      </c>
      <c r="C44" s="10" t="s">
        <v>49</v>
      </c>
      <c r="D44" s="10" t="s">
        <v>8</v>
      </c>
      <c r="E44" s="10" t="s">
        <v>11</v>
      </c>
      <c r="F44" s="10" t="s">
        <v>7</v>
      </c>
      <c r="G44" s="10" t="s">
        <v>44</v>
      </c>
      <c r="H44" s="10" t="s">
        <v>48</v>
      </c>
      <c r="I44" s="13">
        <v>0.4465277777777778</v>
      </c>
      <c r="J44" s="13">
        <v>0.7423611111111111</v>
      </c>
      <c r="K44" s="10">
        <v>30.0</v>
      </c>
      <c r="L44" s="13">
        <v>0.4826388888888889</v>
      </c>
      <c r="M44" s="13">
        <v>0.7152777777777778</v>
      </c>
      <c r="N44" s="10">
        <v>50.0</v>
      </c>
      <c r="O44" s="10">
        <v>1.0</v>
      </c>
      <c r="P44" s="10">
        <v>55.0</v>
      </c>
      <c r="Q44" s="14">
        <f t="shared" si="1"/>
        <v>46045</v>
      </c>
      <c r="R44" s="15">
        <f t="shared" si="2"/>
        <v>6.6</v>
      </c>
      <c r="S44" s="16">
        <f>IFERROR(__xludf.DUMMYFUNCTION("IFERROR( INDEX( FILTER( Reference!$F:$F, Reference!$A:$A = $E44, Reference!$E:$E = $D44, Reference!$C:$C = $Q44),1),""RATE_NOT_FOUND"")"),24.0)</f>
        <v>24</v>
      </c>
      <c r="T44" s="15">
        <f t="shared" si="3"/>
        <v>158.4</v>
      </c>
      <c r="U44" s="15">
        <f t="shared" si="4"/>
        <v>4.75</v>
      </c>
      <c r="V44" s="17">
        <f t="shared" si="5"/>
        <v>11.57894737</v>
      </c>
      <c r="W44" s="18" t="str">
        <f t="shared" si="6"/>
        <v>Sunday</v>
      </c>
      <c r="X44" s="18">
        <f t="shared" si="7"/>
        <v>0</v>
      </c>
      <c r="Y44" s="14">
        <f>IFERROR(__xludf.DUMMYFUNCTION("IFERROR( INDEX( FILTER(Reference!$D:$D, Reference!$A:$A=$E44, Reference!$C:$C=$Q44), 1),"""")"),46052.0)</f>
        <v>46052</v>
      </c>
      <c r="Z44" s="18">
        <f t="shared" si="8"/>
        <v>24.91666667</v>
      </c>
      <c r="AA44" s="18">
        <f>IF(Z44=0,0, IF(Z44&gt;=LOOKUP(Q44,MinHr_Weekly_Bonus!A:A,MinHr_Weekly_Bonus!B:B), LOOKUP(Q44,MinHr_Weekly_Bonus!A:A,MinHr_Weekly_Bonus!C:C), 0))</f>
        <v>100</v>
      </c>
      <c r="AB44" s="15">
        <f t="shared" si="9"/>
        <v>158.4</v>
      </c>
      <c r="AC44" s="18" t="str">
        <f t="shared" si="10"/>
        <v/>
      </c>
    </row>
    <row r="45">
      <c r="A45" s="10" t="s">
        <v>36</v>
      </c>
      <c r="B45" s="12">
        <v>46040.0</v>
      </c>
      <c r="C45" s="10" t="s">
        <v>46</v>
      </c>
      <c r="D45" s="10" t="s">
        <v>8</v>
      </c>
      <c r="E45" s="10" t="s">
        <v>11</v>
      </c>
      <c r="F45" s="10" t="s">
        <v>7</v>
      </c>
      <c r="G45" s="10" t="s">
        <v>44</v>
      </c>
      <c r="H45" s="10" t="s">
        <v>48</v>
      </c>
      <c r="I45" s="13">
        <v>0.4465277777777778</v>
      </c>
      <c r="J45" s="13">
        <v>0.7708333333333334</v>
      </c>
      <c r="K45" s="10">
        <v>30.0</v>
      </c>
      <c r="L45" s="13">
        <v>0.4861111111111111</v>
      </c>
      <c r="M45" s="13">
        <v>0.7291666666666666</v>
      </c>
      <c r="N45" s="10">
        <v>50.0</v>
      </c>
      <c r="O45" s="10">
        <v>1.0</v>
      </c>
      <c r="P45" s="10">
        <v>66.0</v>
      </c>
      <c r="Q45" s="14">
        <f t="shared" si="1"/>
        <v>46045</v>
      </c>
      <c r="R45" s="15">
        <f t="shared" si="2"/>
        <v>7.283333333</v>
      </c>
      <c r="S45" s="16">
        <f>IFERROR(__xludf.DUMMYFUNCTION("IFERROR( INDEX( FILTER( Reference!$F:$F, Reference!$A:$A = $E45, Reference!$E:$E = $D45, Reference!$C:$C = $Q45),1),""RATE_NOT_FOUND"")"),24.0)</f>
        <v>24</v>
      </c>
      <c r="T45" s="15">
        <f t="shared" si="3"/>
        <v>174.8</v>
      </c>
      <c r="U45" s="15">
        <f t="shared" si="4"/>
        <v>5</v>
      </c>
      <c r="V45" s="17">
        <f t="shared" si="5"/>
        <v>13.2</v>
      </c>
      <c r="W45" s="18" t="str">
        <f t="shared" si="6"/>
        <v>Sunday</v>
      </c>
      <c r="X45" s="18">
        <f t="shared" si="7"/>
        <v>0</v>
      </c>
      <c r="Y45" s="14">
        <f>IFERROR(__xludf.DUMMYFUNCTION("IFERROR( INDEX( FILTER(Reference!$D:$D, Reference!$A:$A=$E45, Reference!$C:$C=$Q45), 1),"""")"),46052.0)</f>
        <v>46052</v>
      </c>
      <c r="Z45" s="18">
        <f t="shared" si="8"/>
        <v>14.58333333</v>
      </c>
      <c r="AA45" s="18">
        <f>IF(Z45=0,0, IF(Z45&gt;=LOOKUP(Q45,MinHr_Weekly_Bonus!A:A,MinHr_Weekly_Bonus!B:B), LOOKUP(Q45,MinHr_Weekly_Bonus!A:A,MinHr_Weekly_Bonus!C:C), 0))</f>
        <v>0</v>
      </c>
      <c r="AB45" s="15">
        <f t="shared" si="9"/>
        <v>174.8</v>
      </c>
      <c r="AC45" s="18" t="str">
        <f t="shared" si="10"/>
        <v/>
      </c>
    </row>
    <row r="46">
      <c r="A46" s="10" t="s">
        <v>36</v>
      </c>
      <c r="B46" s="12">
        <v>46040.0</v>
      </c>
      <c r="C46" s="10" t="s">
        <v>47</v>
      </c>
      <c r="D46" s="10" t="s">
        <v>9</v>
      </c>
      <c r="E46" s="10" t="s">
        <v>6</v>
      </c>
      <c r="F46" s="10" t="s">
        <v>7</v>
      </c>
      <c r="G46" s="10" t="s">
        <v>44</v>
      </c>
      <c r="H46" s="10" t="s">
        <v>47</v>
      </c>
      <c r="I46" s="13">
        <v>0.44513888888888886</v>
      </c>
      <c r="J46" s="13">
        <v>0.7715277777777778</v>
      </c>
      <c r="K46" s="10">
        <v>30.0</v>
      </c>
      <c r="L46" s="13">
        <v>0.4930555555555556</v>
      </c>
      <c r="M46" s="13">
        <v>0.7291666666666666</v>
      </c>
      <c r="N46" s="10">
        <v>50.0</v>
      </c>
      <c r="O46" s="10">
        <v>1.0</v>
      </c>
      <c r="P46" s="10">
        <v>74.0</v>
      </c>
      <c r="Q46" s="14">
        <f t="shared" si="1"/>
        <v>46045</v>
      </c>
      <c r="R46" s="15">
        <f t="shared" si="2"/>
        <v>7.333333333</v>
      </c>
      <c r="S46" s="16">
        <f>IFERROR(__xludf.DUMMYFUNCTION("IFERROR( INDEX( FILTER( Reference!$F:$F, Reference!$A:$A = $E46, Reference!$E:$E = $D46, Reference!$C:$C = $Q46),1),""RATE_NOT_FOUND"")"),26.0)</f>
        <v>26</v>
      </c>
      <c r="T46" s="15">
        <f t="shared" si="3"/>
        <v>190.6666667</v>
      </c>
      <c r="U46" s="15">
        <f t="shared" si="4"/>
        <v>4.833333333</v>
      </c>
      <c r="V46" s="17">
        <f t="shared" si="5"/>
        <v>15.31034483</v>
      </c>
      <c r="W46" s="18" t="str">
        <f t="shared" si="6"/>
        <v>Sunday</v>
      </c>
      <c r="X46" s="18">
        <f t="shared" si="7"/>
        <v>0</v>
      </c>
      <c r="Y46" s="14">
        <f>IFERROR(__xludf.DUMMYFUNCTION("IFERROR( INDEX( FILTER(Reference!$D:$D, Reference!$A:$A=$E46, Reference!$C:$C=$Q46), 1),"""")"),46052.0)</f>
        <v>46052</v>
      </c>
      <c r="Z46" s="18">
        <f t="shared" si="8"/>
        <v>24.11666667</v>
      </c>
      <c r="AA46" s="18">
        <f>IF(Z46=0,0, IF(Z46&gt;=LOOKUP(Q46,MinHr_Weekly_Bonus!A:A,MinHr_Weekly_Bonus!B:B), LOOKUP(Q46,MinHr_Weekly_Bonus!A:A,MinHr_Weekly_Bonus!C:C), 0))</f>
        <v>100</v>
      </c>
      <c r="AB46" s="15">
        <f t="shared" si="9"/>
        <v>190.6666667</v>
      </c>
      <c r="AC46" s="18" t="str">
        <f t="shared" si="10"/>
        <v/>
      </c>
    </row>
    <row r="47">
      <c r="A47" s="10" t="s">
        <v>36</v>
      </c>
      <c r="B47" s="12">
        <v>46040.0</v>
      </c>
      <c r="C47" s="10" t="s">
        <v>52</v>
      </c>
      <c r="D47" s="10" t="s">
        <v>8</v>
      </c>
      <c r="E47" s="10" t="s">
        <v>6</v>
      </c>
      <c r="F47" s="10" t="s">
        <v>7</v>
      </c>
      <c r="G47" s="10" t="s">
        <v>44</v>
      </c>
      <c r="H47" s="10" t="s">
        <v>47</v>
      </c>
      <c r="I47" s="13">
        <v>0.4479166666666667</v>
      </c>
      <c r="J47" s="13">
        <v>0.7819444444444444</v>
      </c>
      <c r="K47" s="10">
        <v>30.0</v>
      </c>
      <c r="L47" s="13">
        <v>0.4930555555555556</v>
      </c>
      <c r="M47" s="13">
        <v>0.7291666666666666</v>
      </c>
      <c r="N47" s="10">
        <v>50.0</v>
      </c>
      <c r="O47" s="10">
        <v>1.0</v>
      </c>
      <c r="P47" s="10">
        <v>92.0</v>
      </c>
      <c r="Q47" s="14">
        <f t="shared" si="1"/>
        <v>46045</v>
      </c>
      <c r="R47" s="15">
        <f t="shared" si="2"/>
        <v>7.516666667</v>
      </c>
      <c r="S47" s="16">
        <f>IFERROR(__xludf.DUMMYFUNCTION("IFERROR( INDEX( FILTER( Reference!$F:$F, Reference!$A:$A = $E47, Reference!$E:$E = $D47, Reference!$C:$C = $Q47),1),""RATE_NOT_FOUND"")"),24.0)</f>
        <v>24</v>
      </c>
      <c r="T47" s="15">
        <f t="shared" si="3"/>
        <v>180.4</v>
      </c>
      <c r="U47" s="15">
        <f t="shared" si="4"/>
        <v>4.833333333</v>
      </c>
      <c r="V47" s="17">
        <f t="shared" si="5"/>
        <v>19.03448276</v>
      </c>
      <c r="W47" s="18" t="str">
        <f t="shared" si="6"/>
        <v>Sunday</v>
      </c>
      <c r="X47" s="18">
        <f t="shared" si="7"/>
        <v>0</v>
      </c>
      <c r="Y47" s="14">
        <f>IFERROR(__xludf.DUMMYFUNCTION("IFERROR( INDEX( FILTER(Reference!$D:$D, Reference!$A:$A=$E47, Reference!$C:$C=$Q47), 1),"""")"),46052.0)</f>
        <v>46052</v>
      </c>
      <c r="Z47" s="18">
        <f t="shared" si="8"/>
        <v>25.35</v>
      </c>
      <c r="AA47" s="18">
        <f>IF(Z47=0,0, IF(Z47&gt;=LOOKUP(Q47,MinHr_Weekly_Bonus!A:A,MinHr_Weekly_Bonus!B:B), LOOKUP(Q47,MinHr_Weekly_Bonus!A:A,MinHr_Weekly_Bonus!C:C), 0))</f>
        <v>100</v>
      </c>
      <c r="AB47" s="15">
        <f t="shared" si="9"/>
        <v>180.4</v>
      </c>
      <c r="AC47" s="18" t="str">
        <f t="shared" si="10"/>
        <v/>
      </c>
    </row>
    <row r="48">
      <c r="A48" s="10" t="s">
        <v>36</v>
      </c>
      <c r="B48" s="12">
        <v>46040.0</v>
      </c>
      <c r="C48" s="10" t="s">
        <v>62</v>
      </c>
      <c r="D48" s="10" t="s">
        <v>8</v>
      </c>
      <c r="E48" s="10" t="s">
        <v>6</v>
      </c>
      <c r="F48" s="10" t="s">
        <v>7</v>
      </c>
      <c r="G48" s="10" t="s">
        <v>44</v>
      </c>
      <c r="H48" s="10" t="s">
        <v>47</v>
      </c>
      <c r="I48" s="13">
        <v>0.3958333333333333</v>
      </c>
      <c r="J48" s="13">
        <v>0.7125</v>
      </c>
      <c r="K48" s="10">
        <v>30.0</v>
      </c>
      <c r="L48" s="13">
        <v>0.4875</v>
      </c>
      <c r="M48" s="13">
        <v>0.6680555555555555</v>
      </c>
      <c r="N48" s="10">
        <v>30.0</v>
      </c>
      <c r="O48" s="10">
        <v>1.0</v>
      </c>
      <c r="P48" s="10">
        <v>75.0</v>
      </c>
      <c r="Q48" s="14">
        <f t="shared" si="1"/>
        <v>46045</v>
      </c>
      <c r="R48" s="15">
        <f t="shared" si="2"/>
        <v>7.1</v>
      </c>
      <c r="S48" s="16">
        <f>IFERROR(__xludf.DUMMYFUNCTION("IFERROR( INDEX( FILTER( Reference!$F:$F, Reference!$A:$A = $E48, Reference!$E:$E = $D48, Reference!$C:$C = $Q48),1),""RATE_NOT_FOUND"")"),24.0)</f>
        <v>24</v>
      </c>
      <c r="T48" s="15">
        <f t="shared" si="3"/>
        <v>170.4</v>
      </c>
      <c r="U48" s="15">
        <f t="shared" si="4"/>
        <v>3.833333333</v>
      </c>
      <c r="V48" s="17">
        <f t="shared" si="5"/>
        <v>19.56521739</v>
      </c>
      <c r="W48" s="18" t="str">
        <f t="shared" si="6"/>
        <v>Sunday</v>
      </c>
      <c r="X48" s="18">
        <f t="shared" si="7"/>
        <v>0</v>
      </c>
      <c r="Y48" s="14">
        <f>IFERROR(__xludf.DUMMYFUNCTION("IFERROR( INDEX( FILTER(Reference!$D:$D, Reference!$A:$A=$E48, Reference!$C:$C=$Q48), 1),"""")"),46052.0)</f>
        <v>46052</v>
      </c>
      <c r="Z48" s="18">
        <f t="shared" si="8"/>
        <v>14</v>
      </c>
      <c r="AA48" s="18">
        <f>IF(Z48=0,0, IF(Z48&gt;=LOOKUP(Q48,MinHr_Weekly_Bonus!A:A,MinHr_Weekly_Bonus!B:B), LOOKUP(Q48,MinHr_Weekly_Bonus!A:A,MinHr_Weekly_Bonus!C:C), 0))</f>
        <v>0</v>
      </c>
      <c r="AB48" s="15">
        <f t="shared" si="9"/>
        <v>170.4</v>
      </c>
      <c r="AC48" s="18" t="str">
        <f t="shared" si="10"/>
        <v/>
      </c>
    </row>
    <row r="49">
      <c r="A49" s="10" t="s">
        <v>36</v>
      </c>
      <c r="B49" s="12">
        <v>46040.0</v>
      </c>
      <c r="C49" s="10" t="s">
        <v>61</v>
      </c>
      <c r="D49" s="10" t="s">
        <v>10</v>
      </c>
      <c r="E49" s="10" t="s">
        <v>6</v>
      </c>
      <c r="F49" s="10" t="s">
        <v>7</v>
      </c>
      <c r="G49" s="10" t="s">
        <v>44</v>
      </c>
      <c r="I49" s="13">
        <v>0.6430555555555556</v>
      </c>
      <c r="J49" s="13">
        <v>0.8333333333333334</v>
      </c>
      <c r="K49" s="10">
        <v>0.0</v>
      </c>
      <c r="O49" s="10">
        <v>1.0</v>
      </c>
      <c r="Q49" s="14">
        <f t="shared" si="1"/>
        <v>46045</v>
      </c>
      <c r="R49" s="15">
        <f t="shared" si="2"/>
        <v>4.566666667</v>
      </c>
      <c r="S49" s="16">
        <f>IFERROR(__xludf.DUMMYFUNCTION("IFERROR( INDEX( FILTER( Reference!$F:$F, Reference!$A:$A = $E49, Reference!$E:$E = $D49, Reference!$C:$C = $Q49),1),""RATE_NOT_FOUND"")"),22.0)</f>
        <v>22</v>
      </c>
      <c r="T49" s="15">
        <f t="shared" si="3"/>
        <v>100.4666667</v>
      </c>
      <c r="U49" s="15">
        <f t="shared" si="4"/>
        <v>0</v>
      </c>
      <c r="V49" s="17">
        <f t="shared" si="5"/>
        <v>0</v>
      </c>
      <c r="W49" s="18" t="str">
        <f t="shared" si="6"/>
        <v>Sunday</v>
      </c>
      <c r="X49" s="18">
        <f t="shared" si="7"/>
        <v>0</v>
      </c>
      <c r="Y49" s="14">
        <f>IFERROR(__xludf.DUMMYFUNCTION("IFERROR( INDEX( FILTER(Reference!$D:$D, Reference!$A:$A=$E49, Reference!$C:$C=$Q49), 1),"""")"),46052.0)</f>
        <v>46052</v>
      </c>
      <c r="Z49" s="18">
        <f t="shared" si="8"/>
        <v>0</v>
      </c>
      <c r="AA49" s="18">
        <f>IF(Z49=0,0, IF(Z49&gt;=LOOKUP(Q49,MinHr_Weekly_Bonus!A:A,MinHr_Weekly_Bonus!B:B), LOOKUP(Q49,MinHr_Weekly_Bonus!A:A,MinHr_Weekly_Bonus!C:C), 0))</f>
        <v>0</v>
      </c>
      <c r="AB49" s="15">
        <f t="shared" si="9"/>
        <v>100.4666667</v>
      </c>
      <c r="AC49" s="18" t="str">
        <f t="shared" si="10"/>
        <v/>
      </c>
    </row>
    <row r="50">
      <c r="A50" s="10" t="s">
        <v>36</v>
      </c>
      <c r="B50" s="12">
        <v>46042.0</v>
      </c>
      <c r="C50" s="10" t="s">
        <v>56</v>
      </c>
      <c r="D50" s="10" t="s">
        <v>8</v>
      </c>
      <c r="E50" s="10" t="s">
        <v>6</v>
      </c>
      <c r="F50" s="10" t="s">
        <v>7</v>
      </c>
      <c r="G50" s="10" t="s">
        <v>44</v>
      </c>
      <c r="H50" s="10" t="s">
        <v>41</v>
      </c>
      <c r="I50" s="13">
        <v>0.4479166666666667</v>
      </c>
      <c r="J50" s="13">
        <v>0.7708333333333334</v>
      </c>
      <c r="K50" s="10">
        <v>30.0</v>
      </c>
      <c r="L50" s="13">
        <v>0.4930555555555556</v>
      </c>
      <c r="M50" s="13">
        <v>0.7291666666666666</v>
      </c>
      <c r="N50" s="10">
        <v>60.0</v>
      </c>
      <c r="O50" s="10">
        <v>1.0</v>
      </c>
      <c r="P50" s="10">
        <v>54.0</v>
      </c>
      <c r="Q50" s="14">
        <f t="shared" si="1"/>
        <v>46045</v>
      </c>
      <c r="R50" s="15">
        <f t="shared" si="2"/>
        <v>7.25</v>
      </c>
      <c r="S50" s="16">
        <f>IFERROR(__xludf.DUMMYFUNCTION("IFERROR( INDEX( FILTER( Reference!$F:$F, Reference!$A:$A = $E50, Reference!$E:$E = $D50, Reference!$C:$C = $Q50),1),""RATE_NOT_FOUND"")"),24.0)</f>
        <v>24</v>
      </c>
      <c r="T50" s="15">
        <f t="shared" si="3"/>
        <v>174</v>
      </c>
      <c r="U50" s="15">
        <f t="shared" si="4"/>
        <v>4.666666667</v>
      </c>
      <c r="V50" s="17">
        <f t="shared" si="5"/>
        <v>11.57142857</v>
      </c>
      <c r="W50" s="18" t="str">
        <f t="shared" si="6"/>
        <v>Tuesday</v>
      </c>
      <c r="X50" s="18">
        <f t="shared" si="7"/>
        <v>0</v>
      </c>
      <c r="Y50" s="14">
        <f>IFERROR(__xludf.DUMMYFUNCTION("IFERROR( INDEX( FILTER(Reference!$D:$D, Reference!$A:$A=$E50, Reference!$C:$C=$Q50), 1),"""")"),46052.0)</f>
        <v>46052</v>
      </c>
      <c r="Z50" s="18">
        <f t="shared" si="8"/>
        <v>14.21666667</v>
      </c>
      <c r="AA50" s="18">
        <f>IF(Z50=0,0, IF(Z50&gt;=LOOKUP(Q50,MinHr_Weekly_Bonus!A:A,MinHr_Weekly_Bonus!B:B), LOOKUP(Q50,MinHr_Weekly_Bonus!A:A,MinHr_Weekly_Bonus!C:C), 0))</f>
        <v>0</v>
      </c>
      <c r="AB50" s="15">
        <f t="shared" si="9"/>
        <v>174</v>
      </c>
      <c r="AC50" s="18" t="str">
        <f t="shared" si="10"/>
        <v/>
      </c>
    </row>
    <row r="51">
      <c r="A51" s="10" t="s">
        <v>36</v>
      </c>
      <c r="B51" s="12">
        <v>46042.0</v>
      </c>
      <c r="C51" s="10" t="s">
        <v>41</v>
      </c>
      <c r="D51" s="10" t="s">
        <v>9</v>
      </c>
      <c r="E51" s="10" t="s">
        <v>6</v>
      </c>
      <c r="F51" s="10" t="s">
        <v>7</v>
      </c>
      <c r="G51" s="10" t="s">
        <v>44</v>
      </c>
      <c r="H51" s="10" t="s">
        <v>41</v>
      </c>
      <c r="I51" s="13">
        <v>0.44513888888888886</v>
      </c>
      <c r="J51" s="13">
        <v>0.7743055555555556</v>
      </c>
      <c r="K51" s="10">
        <v>30.0</v>
      </c>
      <c r="L51" s="13">
        <v>0.49583333333333335</v>
      </c>
      <c r="M51" s="13">
        <v>0.7291666666666666</v>
      </c>
      <c r="N51" s="10">
        <v>60.0</v>
      </c>
      <c r="O51" s="10">
        <v>1.0</v>
      </c>
      <c r="P51" s="10">
        <v>84.0</v>
      </c>
      <c r="Q51" s="14">
        <f t="shared" si="1"/>
        <v>46045</v>
      </c>
      <c r="R51" s="15">
        <f t="shared" si="2"/>
        <v>7.4</v>
      </c>
      <c r="S51" s="16">
        <f>IFERROR(__xludf.DUMMYFUNCTION("IFERROR( INDEX( FILTER( Reference!$F:$F, Reference!$A:$A = $E51, Reference!$E:$E = $D51, Reference!$C:$C = $Q51),1),""RATE_NOT_FOUND"")"),26.0)</f>
        <v>26</v>
      </c>
      <c r="T51" s="15">
        <f t="shared" si="3"/>
        <v>192.4</v>
      </c>
      <c r="U51" s="15">
        <f t="shared" si="4"/>
        <v>4.6</v>
      </c>
      <c r="V51" s="17">
        <f t="shared" si="5"/>
        <v>18.26086957</v>
      </c>
      <c r="W51" s="18" t="str">
        <f t="shared" si="6"/>
        <v>Tuesday</v>
      </c>
      <c r="X51" s="18">
        <f t="shared" si="7"/>
        <v>0</v>
      </c>
      <c r="Y51" s="14">
        <f>IFERROR(__xludf.DUMMYFUNCTION("IFERROR( INDEX( FILTER(Reference!$D:$D, Reference!$A:$A=$E51, Reference!$C:$C=$Q51), 1),"""")"),46052.0)</f>
        <v>46052</v>
      </c>
      <c r="Z51" s="18">
        <f t="shared" si="8"/>
        <v>9.6</v>
      </c>
      <c r="AA51" s="18">
        <f>IF(Z51=0,0, IF(Z51&gt;=LOOKUP(Q51,MinHr_Weekly_Bonus!A:A,MinHr_Weekly_Bonus!B:B), LOOKUP(Q51,MinHr_Weekly_Bonus!A:A,MinHr_Weekly_Bonus!C:C), 0))</f>
        <v>0</v>
      </c>
      <c r="AB51" s="15">
        <f t="shared" si="9"/>
        <v>192.4</v>
      </c>
      <c r="AC51" s="18" t="str">
        <f t="shared" si="10"/>
        <v/>
      </c>
    </row>
    <row r="52">
      <c r="A52" s="10" t="s">
        <v>36</v>
      </c>
      <c r="B52" s="12">
        <v>46042.0</v>
      </c>
      <c r="C52" s="10" t="s">
        <v>46</v>
      </c>
      <c r="D52" s="10" t="s">
        <v>8</v>
      </c>
      <c r="E52" s="10" t="s">
        <v>6</v>
      </c>
      <c r="F52" s="10" t="s">
        <v>7</v>
      </c>
      <c r="G52" s="10" t="s">
        <v>44</v>
      </c>
      <c r="H52" s="10" t="s">
        <v>41</v>
      </c>
      <c r="I52" s="13">
        <v>0.44722222222222224</v>
      </c>
      <c r="J52" s="13">
        <v>0.7611111111111111</v>
      </c>
      <c r="K52" s="10">
        <v>30.0</v>
      </c>
      <c r="L52" s="13">
        <v>0.4930555555555556</v>
      </c>
      <c r="M52" s="13">
        <v>0.7291666666666666</v>
      </c>
      <c r="N52" s="10">
        <v>60.0</v>
      </c>
      <c r="O52" s="10">
        <v>1.0</v>
      </c>
      <c r="P52" s="10">
        <v>55.0</v>
      </c>
      <c r="Q52" s="14">
        <f t="shared" si="1"/>
        <v>46045</v>
      </c>
      <c r="R52" s="15">
        <f t="shared" si="2"/>
        <v>7.033333333</v>
      </c>
      <c r="S52" s="16">
        <f>IFERROR(__xludf.DUMMYFUNCTION("IFERROR( INDEX( FILTER( Reference!$F:$F, Reference!$A:$A = $E52, Reference!$E:$E = $D52, Reference!$C:$C = $Q52),1),""RATE_NOT_FOUND"")"),24.0)</f>
        <v>24</v>
      </c>
      <c r="T52" s="15">
        <f t="shared" si="3"/>
        <v>168.8</v>
      </c>
      <c r="U52" s="15">
        <f t="shared" si="4"/>
        <v>4.666666667</v>
      </c>
      <c r="V52" s="17">
        <f t="shared" si="5"/>
        <v>11.78571429</v>
      </c>
      <c r="W52" s="18" t="str">
        <f t="shared" si="6"/>
        <v>Tuesday</v>
      </c>
      <c r="X52" s="18">
        <f t="shared" si="7"/>
        <v>0</v>
      </c>
      <c r="Y52" s="14">
        <f>IFERROR(__xludf.DUMMYFUNCTION("IFERROR( INDEX( FILTER(Reference!$D:$D, Reference!$A:$A=$E52, Reference!$C:$C=$Q52), 1),"""")"),46052.0)</f>
        <v>46052</v>
      </c>
      <c r="Z52" s="18">
        <f t="shared" si="8"/>
        <v>14.58333333</v>
      </c>
      <c r="AA52" s="18">
        <f>IF(Z52=0,0, IF(Z52&gt;=LOOKUP(Q52,MinHr_Weekly_Bonus!A:A,MinHr_Weekly_Bonus!B:B), LOOKUP(Q52,MinHr_Weekly_Bonus!A:A,MinHr_Weekly_Bonus!C:C), 0))</f>
        <v>0</v>
      </c>
      <c r="AB52" s="15">
        <f t="shared" si="9"/>
        <v>168.8</v>
      </c>
      <c r="AC52" s="18" t="str">
        <f t="shared" si="10"/>
        <v/>
      </c>
    </row>
    <row r="53">
      <c r="A53" s="10" t="s">
        <v>36</v>
      </c>
      <c r="B53" s="12">
        <v>46042.0</v>
      </c>
      <c r="C53" s="10" t="s">
        <v>42</v>
      </c>
      <c r="D53" s="10" t="s">
        <v>9</v>
      </c>
      <c r="E53" s="10" t="s">
        <v>6</v>
      </c>
      <c r="F53" s="10" t="s">
        <v>7</v>
      </c>
      <c r="G53" s="10" t="s">
        <v>44</v>
      </c>
      <c r="H53" s="10" t="s">
        <v>42</v>
      </c>
      <c r="I53" s="13">
        <v>0.4236111111111111</v>
      </c>
      <c r="J53" s="13">
        <v>0.7645833333333333</v>
      </c>
      <c r="K53" s="10">
        <v>30.0</v>
      </c>
      <c r="L53" s="13">
        <v>0.4861111111111111</v>
      </c>
      <c r="M53" s="13">
        <v>0.7291666666666666</v>
      </c>
      <c r="N53" s="10">
        <v>50.0</v>
      </c>
      <c r="O53" s="10">
        <v>1.0</v>
      </c>
      <c r="P53" s="10">
        <v>83.0</v>
      </c>
      <c r="Q53" s="14">
        <f t="shared" si="1"/>
        <v>46045</v>
      </c>
      <c r="R53" s="15">
        <f t="shared" si="2"/>
        <v>7.683333333</v>
      </c>
      <c r="S53" s="16">
        <f>IFERROR(__xludf.DUMMYFUNCTION("IFERROR( INDEX( FILTER( Reference!$F:$F, Reference!$A:$A = $E53, Reference!$E:$E = $D53, Reference!$C:$C = $Q53),1),""RATE_NOT_FOUND"")"),26.0)</f>
        <v>26</v>
      </c>
      <c r="T53" s="15">
        <f t="shared" si="3"/>
        <v>199.7666667</v>
      </c>
      <c r="U53" s="15">
        <f t="shared" si="4"/>
        <v>5</v>
      </c>
      <c r="V53" s="17">
        <f t="shared" si="5"/>
        <v>16.6</v>
      </c>
      <c r="W53" s="18" t="str">
        <f t="shared" si="6"/>
        <v>Tuesday</v>
      </c>
      <c r="X53" s="18">
        <f t="shared" si="7"/>
        <v>0</v>
      </c>
      <c r="Y53" s="14">
        <f>IFERROR(__xludf.DUMMYFUNCTION("IFERROR( INDEX( FILTER(Reference!$D:$D, Reference!$A:$A=$E53, Reference!$C:$C=$Q53), 1),"""")"),46052.0)</f>
        <v>46052</v>
      </c>
      <c r="Z53" s="18">
        <f t="shared" si="8"/>
        <v>23.83333333</v>
      </c>
      <c r="AA53" s="18">
        <f>IF(Z53=0,0, IF(Z53&gt;=LOOKUP(Q53,MinHr_Weekly_Bonus!A:A,MinHr_Weekly_Bonus!B:B), LOOKUP(Q53,MinHr_Weekly_Bonus!A:A,MinHr_Weekly_Bonus!C:C), 0))</f>
        <v>100</v>
      </c>
      <c r="AB53" s="15">
        <f t="shared" si="9"/>
        <v>199.7666667</v>
      </c>
      <c r="AC53" s="18" t="str">
        <f t="shared" si="10"/>
        <v/>
      </c>
    </row>
    <row r="54">
      <c r="A54" s="10" t="s">
        <v>36</v>
      </c>
      <c r="B54" s="12">
        <v>46042.0</v>
      </c>
      <c r="C54" s="10" t="s">
        <v>63</v>
      </c>
      <c r="D54" s="10" t="s">
        <v>8</v>
      </c>
      <c r="E54" s="10" t="s">
        <v>6</v>
      </c>
      <c r="F54" s="10" t="s">
        <v>7</v>
      </c>
      <c r="G54" s="10" t="s">
        <v>44</v>
      </c>
      <c r="H54" s="10" t="s">
        <v>42</v>
      </c>
      <c r="I54" s="13">
        <v>0.3958333333333333</v>
      </c>
      <c r="J54" s="13">
        <v>0.7708333333333334</v>
      </c>
      <c r="K54" s="10">
        <v>30.0</v>
      </c>
      <c r="L54" s="13">
        <v>0.4791666666666667</v>
      </c>
      <c r="M54" s="13">
        <v>0.7291666666666666</v>
      </c>
      <c r="N54" s="10">
        <v>50.0</v>
      </c>
      <c r="O54" s="10">
        <v>1.0</v>
      </c>
      <c r="P54" s="10">
        <v>87.0</v>
      </c>
      <c r="Q54" s="14">
        <f t="shared" si="1"/>
        <v>46045</v>
      </c>
      <c r="R54" s="15">
        <f t="shared" si="2"/>
        <v>8.5</v>
      </c>
      <c r="S54" s="16">
        <f>IFERROR(__xludf.DUMMYFUNCTION("IFERROR( INDEX( FILTER( Reference!$F:$F, Reference!$A:$A = $E54, Reference!$E:$E = $D54, Reference!$C:$C = $Q54),1),""RATE_NOT_FOUND"")"),24.0)</f>
        <v>24</v>
      </c>
      <c r="T54" s="15">
        <f t="shared" si="3"/>
        <v>204</v>
      </c>
      <c r="U54" s="15">
        <f t="shared" si="4"/>
        <v>5.166666667</v>
      </c>
      <c r="V54" s="17">
        <f t="shared" si="5"/>
        <v>16.83870968</v>
      </c>
      <c r="W54" s="18" t="str">
        <f t="shared" si="6"/>
        <v>Tuesday</v>
      </c>
      <c r="X54" s="18">
        <f t="shared" si="7"/>
        <v>0</v>
      </c>
      <c r="Y54" s="14">
        <f>IFERROR(__xludf.DUMMYFUNCTION("IFERROR( INDEX( FILTER(Reference!$D:$D, Reference!$A:$A=$E54, Reference!$C:$C=$Q54), 1),"""")"),46052.0)</f>
        <v>46052</v>
      </c>
      <c r="Z54" s="18">
        <f t="shared" si="8"/>
        <v>10.26666667</v>
      </c>
      <c r="AA54" s="18">
        <f>IF(Z54=0,0, IF(Z54&gt;=LOOKUP(Q54,MinHr_Weekly_Bonus!A:A,MinHr_Weekly_Bonus!B:B), LOOKUP(Q54,MinHr_Weekly_Bonus!A:A,MinHr_Weekly_Bonus!C:C), 0))</f>
        <v>0</v>
      </c>
      <c r="AB54" s="15">
        <f t="shared" si="9"/>
        <v>204</v>
      </c>
      <c r="AC54" s="18" t="str">
        <f t="shared" si="10"/>
        <v/>
      </c>
    </row>
    <row r="55">
      <c r="A55" s="10" t="s">
        <v>36</v>
      </c>
      <c r="B55" s="12">
        <v>46042.0</v>
      </c>
      <c r="C55" s="10" t="s">
        <v>47</v>
      </c>
      <c r="D55" s="10" t="s">
        <v>9</v>
      </c>
      <c r="E55" s="10" t="s">
        <v>11</v>
      </c>
      <c r="F55" s="10" t="s">
        <v>7</v>
      </c>
      <c r="G55" s="10" t="s">
        <v>44</v>
      </c>
      <c r="H55" s="10" t="s">
        <v>47</v>
      </c>
      <c r="I55" s="13">
        <v>0.4444444444444444</v>
      </c>
      <c r="J55" s="13">
        <v>0.7736111111111111</v>
      </c>
      <c r="K55" s="10">
        <v>30.0</v>
      </c>
      <c r="L55" s="13">
        <v>0.4791666666666667</v>
      </c>
      <c r="M55" s="13">
        <v>0.7291666666666666</v>
      </c>
      <c r="N55" s="10">
        <v>50.0</v>
      </c>
      <c r="O55" s="10">
        <v>1.0</v>
      </c>
      <c r="P55" s="10">
        <v>62.0</v>
      </c>
      <c r="Q55" s="14">
        <f t="shared" si="1"/>
        <v>46045</v>
      </c>
      <c r="R55" s="15">
        <f t="shared" si="2"/>
        <v>7.4</v>
      </c>
      <c r="S55" s="16">
        <f>IFERROR(__xludf.DUMMYFUNCTION("IFERROR( INDEX( FILTER( Reference!$F:$F, Reference!$A:$A = $E55, Reference!$E:$E = $D55, Reference!$C:$C = $Q55),1),""RATE_NOT_FOUND"")"),26.0)</f>
        <v>26</v>
      </c>
      <c r="T55" s="15">
        <f t="shared" si="3"/>
        <v>192.4</v>
      </c>
      <c r="U55" s="15">
        <f t="shared" si="4"/>
        <v>5.166666667</v>
      </c>
      <c r="V55" s="17">
        <f t="shared" si="5"/>
        <v>12</v>
      </c>
      <c r="W55" s="18" t="str">
        <f t="shared" si="6"/>
        <v>Tuesday</v>
      </c>
      <c r="X55" s="18">
        <f t="shared" si="7"/>
        <v>0</v>
      </c>
      <c r="Y55" s="14">
        <f>IFERROR(__xludf.DUMMYFUNCTION("IFERROR( INDEX( FILTER(Reference!$D:$D, Reference!$A:$A=$E55, Reference!$C:$C=$Q55), 1),"""")"),46052.0)</f>
        <v>46052</v>
      </c>
      <c r="Z55" s="18">
        <f t="shared" si="8"/>
        <v>24.11666667</v>
      </c>
      <c r="AA55" s="18">
        <f>IF(Z55=0,0, IF(Z55&gt;=LOOKUP(Q55,MinHr_Weekly_Bonus!A:A,MinHr_Weekly_Bonus!B:B), LOOKUP(Q55,MinHr_Weekly_Bonus!A:A,MinHr_Weekly_Bonus!C:C), 0))</f>
        <v>100</v>
      </c>
      <c r="AB55" s="15">
        <f t="shared" si="9"/>
        <v>192.4</v>
      </c>
      <c r="AC55" s="18" t="str">
        <f t="shared" si="10"/>
        <v/>
      </c>
    </row>
    <row r="56">
      <c r="A56" s="10" t="s">
        <v>36</v>
      </c>
      <c r="B56" s="12">
        <v>46042.0</v>
      </c>
      <c r="C56" s="10" t="s">
        <v>62</v>
      </c>
      <c r="D56" s="10" t="s">
        <v>8</v>
      </c>
      <c r="E56" s="10" t="s">
        <v>11</v>
      </c>
      <c r="F56" s="10" t="s">
        <v>7</v>
      </c>
      <c r="G56" s="10" t="s">
        <v>44</v>
      </c>
      <c r="H56" s="10" t="s">
        <v>47</v>
      </c>
      <c r="I56" s="13">
        <v>0.4486111111111111</v>
      </c>
      <c r="J56" s="13">
        <v>0.7715277777777778</v>
      </c>
      <c r="K56" s="10">
        <v>30.0</v>
      </c>
      <c r="L56" s="13">
        <v>0.4861111111111111</v>
      </c>
      <c r="M56" s="13">
        <v>0.7291666666666666</v>
      </c>
      <c r="N56" s="10">
        <v>50.0</v>
      </c>
      <c r="O56" s="10">
        <v>1.0</v>
      </c>
      <c r="P56" s="10">
        <v>102.0</v>
      </c>
      <c r="Q56" s="14">
        <f t="shared" si="1"/>
        <v>46045</v>
      </c>
      <c r="R56" s="15">
        <f t="shared" si="2"/>
        <v>7.25</v>
      </c>
      <c r="S56" s="16">
        <f>IFERROR(__xludf.DUMMYFUNCTION("IFERROR( INDEX( FILTER( Reference!$F:$F, Reference!$A:$A = $E56, Reference!$E:$E = $D56, Reference!$C:$C = $Q56),1),""RATE_NOT_FOUND"")"),24.0)</f>
        <v>24</v>
      </c>
      <c r="T56" s="15">
        <f t="shared" si="3"/>
        <v>174</v>
      </c>
      <c r="U56" s="15">
        <f t="shared" si="4"/>
        <v>5</v>
      </c>
      <c r="V56" s="17">
        <f t="shared" si="5"/>
        <v>20.4</v>
      </c>
      <c r="W56" s="18" t="str">
        <f t="shared" si="6"/>
        <v>Tuesday</v>
      </c>
      <c r="X56" s="18">
        <f t="shared" si="7"/>
        <v>0</v>
      </c>
      <c r="Y56" s="14">
        <f>IFERROR(__xludf.DUMMYFUNCTION("IFERROR( INDEX( FILTER(Reference!$D:$D, Reference!$A:$A=$E56, Reference!$C:$C=$Q56), 1),"""")"),46052.0)</f>
        <v>46052</v>
      </c>
      <c r="Z56" s="18">
        <f t="shared" si="8"/>
        <v>14</v>
      </c>
      <c r="AA56" s="18">
        <f>IF(Z56=0,0, IF(Z56&gt;=LOOKUP(Q56,MinHr_Weekly_Bonus!A:A,MinHr_Weekly_Bonus!B:B), LOOKUP(Q56,MinHr_Weekly_Bonus!A:A,MinHr_Weekly_Bonus!C:C), 0))</f>
        <v>0</v>
      </c>
      <c r="AB56" s="15">
        <f t="shared" si="9"/>
        <v>174</v>
      </c>
      <c r="AC56" s="18" t="str">
        <f t="shared" si="10"/>
        <v/>
      </c>
    </row>
    <row r="57">
      <c r="A57" s="10" t="s">
        <v>36</v>
      </c>
      <c r="B57" s="12">
        <v>46042.0</v>
      </c>
      <c r="C57" s="10" t="s">
        <v>64</v>
      </c>
      <c r="D57" s="10" t="s">
        <v>8</v>
      </c>
      <c r="E57" s="10" t="s">
        <v>11</v>
      </c>
      <c r="F57" s="10" t="s">
        <v>7</v>
      </c>
      <c r="G57" s="10" t="s">
        <v>44</v>
      </c>
      <c r="H57" s="10" t="s">
        <v>47</v>
      </c>
      <c r="I57" s="13">
        <v>0.3958333333333333</v>
      </c>
      <c r="J57" s="13">
        <v>0.7708333333333334</v>
      </c>
      <c r="K57" s="10">
        <v>30.0</v>
      </c>
      <c r="L57" s="13">
        <v>0.4895833333333333</v>
      </c>
      <c r="M57" s="13">
        <v>0.7291666666666666</v>
      </c>
      <c r="N57" s="10">
        <v>60.0</v>
      </c>
      <c r="O57" s="10">
        <v>1.0</v>
      </c>
      <c r="P57" s="10">
        <v>119.0</v>
      </c>
      <c r="Q57" s="14">
        <f t="shared" si="1"/>
        <v>46045</v>
      </c>
      <c r="R57" s="15">
        <f t="shared" si="2"/>
        <v>8.5</v>
      </c>
      <c r="S57" s="16">
        <f>IFERROR(__xludf.DUMMYFUNCTION("IFERROR( INDEX( FILTER( Reference!$F:$F, Reference!$A:$A = $E57, Reference!$E:$E = $D57, Reference!$C:$C = $Q57),1),""RATE_NOT_FOUND"")"),24.0)</f>
        <v>24</v>
      </c>
      <c r="T57" s="15">
        <f t="shared" si="3"/>
        <v>204</v>
      </c>
      <c r="U57" s="15">
        <f t="shared" si="4"/>
        <v>4.75</v>
      </c>
      <c r="V57" s="17">
        <f t="shared" si="5"/>
        <v>25.05263158</v>
      </c>
      <c r="W57" s="18" t="str">
        <f t="shared" si="6"/>
        <v>Tuesday</v>
      </c>
      <c r="X57" s="18">
        <f t="shared" si="7"/>
        <v>0</v>
      </c>
      <c r="Y57" s="14">
        <f>IFERROR(__xludf.DUMMYFUNCTION("IFERROR( INDEX( FILTER(Reference!$D:$D, Reference!$A:$A=$E57, Reference!$C:$C=$Q57), 1),"""")"),46052.0)</f>
        <v>46052</v>
      </c>
      <c r="Z57" s="18">
        <f t="shared" si="8"/>
        <v>9.166666667</v>
      </c>
      <c r="AA57" s="18">
        <f>IF(Z57=0,0, IF(Z57&gt;=LOOKUP(Q57,MinHr_Weekly_Bonus!A:A,MinHr_Weekly_Bonus!B:B), LOOKUP(Q57,MinHr_Weekly_Bonus!A:A,MinHr_Weekly_Bonus!C:C), 0))</f>
        <v>0</v>
      </c>
      <c r="AB57" s="15">
        <f t="shared" si="9"/>
        <v>204</v>
      </c>
      <c r="AC57" s="18" t="str">
        <f t="shared" si="10"/>
        <v/>
      </c>
    </row>
    <row r="58">
      <c r="A58" s="10" t="s">
        <v>36</v>
      </c>
      <c r="B58" s="12">
        <v>46042.0</v>
      </c>
      <c r="C58" s="10" t="s">
        <v>65</v>
      </c>
      <c r="D58" s="10" t="s">
        <v>8</v>
      </c>
      <c r="E58" s="10" t="s">
        <v>11</v>
      </c>
      <c r="F58" s="10" t="s">
        <v>7</v>
      </c>
      <c r="G58" s="10" t="s">
        <v>44</v>
      </c>
      <c r="H58" s="10" t="s">
        <v>47</v>
      </c>
      <c r="I58" s="13">
        <v>0.3958333333333333</v>
      </c>
      <c r="J58" s="13">
        <v>0.7708333333333334</v>
      </c>
      <c r="K58" s="10">
        <v>30.0</v>
      </c>
      <c r="L58" s="13">
        <v>0.4895833333333333</v>
      </c>
      <c r="M58" s="13">
        <v>0.7291666666666666</v>
      </c>
      <c r="N58" s="10">
        <v>60.0</v>
      </c>
      <c r="O58" s="10">
        <v>1.0</v>
      </c>
      <c r="P58" s="10">
        <v>101.0</v>
      </c>
      <c r="Q58" s="14">
        <f t="shared" si="1"/>
        <v>46045</v>
      </c>
      <c r="R58" s="15">
        <f t="shared" si="2"/>
        <v>8.5</v>
      </c>
      <c r="S58" s="16">
        <f>IFERROR(__xludf.DUMMYFUNCTION("IFERROR( INDEX( FILTER( Reference!$F:$F, Reference!$A:$A = $E58, Reference!$E:$E = $D58, Reference!$C:$C = $Q58),1),""RATE_NOT_FOUND"")"),24.0)</f>
        <v>24</v>
      </c>
      <c r="T58" s="15">
        <f t="shared" si="3"/>
        <v>204</v>
      </c>
      <c r="U58" s="15">
        <f t="shared" si="4"/>
        <v>4.75</v>
      </c>
      <c r="V58" s="17">
        <f t="shared" si="5"/>
        <v>21.26315789</v>
      </c>
      <c r="W58" s="18" t="str">
        <f t="shared" si="6"/>
        <v>Tuesday</v>
      </c>
      <c r="X58" s="18">
        <f t="shared" si="7"/>
        <v>0</v>
      </c>
      <c r="Y58" s="14">
        <f>IFERROR(__xludf.DUMMYFUNCTION("IFERROR( INDEX( FILTER(Reference!$D:$D, Reference!$A:$A=$E58, Reference!$C:$C=$Q58), 1),"""")"),46052.0)</f>
        <v>46052</v>
      </c>
      <c r="Z58" s="18">
        <f t="shared" si="8"/>
        <v>14.58333333</v>
      </c>
      <c r="AA58" s="18">
        <f>IF(Z58=0,0, IF(Z58&gt;=LOOKUP(Q58,MinHr_Weekly_Bonus!A:A,MinHr_Weekly_Bonus!B:B), LOOKUP(Q58,MinHr_Weekly_Bonus!A:A,MinHr_Weekly_Bonus!C:C), 0))</f>
        <v>0</v>
      </c>
      <c r="AB58" s="15">
        <f t="shared" si="9"/>
        <v>204</v>
      </c>
      <c r="AC58" s="18" t="str">
        <f t="shared" si="10"/>
        <v/>
      </c>
    </row>
    <row r="59">
      <c r="A59" s="10" t="s">
        <v>36</v>
      </c>
      <c r="B59" s="12">
        <v>46042.0</v>
      </c>
      <c r="C59" s="10" t="s">
        <v>66</v>
      </c>
      <c r="D59" s="10" t="s">
        <v>8</v>
      </c>
      <c r="E59" s="10" t="s">
        <v>6</v>
      </c>
      <c r="F59" s="10" t="s">
        <v>7</v>
      </c>
      <c r="G59" s="10" t="s">
        <v>44</v>
      </c>
      <c r="H59" s="10" t="s">
        <v>42</v>
      </c>
      <c r="I59" s="13">
        <v>0.3958333333333333</v>
      </c>
      <c r="J59" s="13">
        <v>0.5208333333333334</v>
      </c>
      <c r="K59" s="10">
        <v>0.0</v>
      </c>
      <c r="L59" s="13">
        <v>0.4895833333333333</v>
      </c>
      <c r="M59" s="13">
        <v>0.5104166666666666</v>
      </c>
      <c r="N59" s="10">
        <v>0.0</v>
      </c>
      <c r="O59" s="10">
        <v>0.0</v>
      </c>
      <c r="P59" s="10">
        <v>107.0</v>
      </c>
      <c r="Q59" s="14">
        <f t="shared" si="1"/>
        <v>46045</v>
      </c>
      <c r="R59" s="15">
        <f t="shared" si="2"/>
        <v>3</v>
      </c>
      <c r="S59" s="16">
        <f>IFERROR(__xludf.DUMMYFUNCTION("IFERROR( INDEX( FILTER( Reference!$F:$F, Reference!$A:$A = $E59, Reference!$E:$E = $D59, Reference!$C:$C = $Q59),1),""RATE_NOT_FOUND"")"),24.0)</f>
        <v>24</v>
      </c>
      <c r="T59" s="15">
        <f t="shared" si="3"/>
        <v>72</v>
      </c>
      <c r="U59" s="15">
        <f t="shared" si="4"/>
        <v>0.5</v>
      </c>
      <c r="V59" s="17">
        <f t="shared" si="5"/>
        <v>214</v>
      </c>
      <c r="W59" s="18" t="str">
        <f t="shared" si="6"/>
        <v>Tuesday</v>
      </c>
      <c r="X59" s="18">
        <f t="shared" si="7"/>
        <v>0</v>
      </c>
      <c r="Y59" s="14">
        <f>IFERROR(__xludf.DUMMYFUNCTION("IFERROR( INDEX( FILTER(Reference!$D:$D, Reference!$A:$A=$E59, Reference!$C:$C=$Q59), 1),"""")"),46052.0)</f>
        <v>46052</v>
      </c>
      <c r="Z59" s="18">
        <f t="shared" si="8"/>
        <v>0.5</v>
      </c>
      <c r="AA59" s="18">
        <f>IF(Z59=0,0, IF(Z59&gt;=LOOKUP(Q59,MinHr_Weekly_Bonus!A:A,MinHr_Weekly_Bonus!B:B), LOOKUP(Q59,MinHr_Weekly_Bonus!A:A,MinHr_Weekly_Bonus!C:C), 0))</f>
        <v>0</v>
      </c>
      <c r="AB59" s="15">
        <f t="shared" si="9"/>
        <v>72</v>
      </c>
      <c r="AC59" s="18" t="str">
        <f t="shared" si="10"/>
        <v>REVIEW: very high KPH</v>
      </c>
    </row>
    <row r="60">
      <c r="A60" s="10" t="s">
        <v>36</v>
      </c>
      <c r="B60" s="12">
        <v>46042.0</v>
      </c>
      <c r="C60" s="10" t="s">
        <v>39</v>
      </c>
      <c r="D60" s="10" t="s">
        <v>8</v>
      </c>
      <c r="E60" s="10" t="s">
        <v>6</v>
      </c>
      <c r="F60" s="10" t="s">
        <v>7</v>
      </c>
      <c r="G60" s="10" t="s">
        <v>44</v>
      </c>
      <c r="H60" s="10" t="s">
        <v>42</v>
      </c>
      <c r="I60" s="13">
        <v>0.4479166666666667</v>
      </c>
      <c r="J60" s="13">
        <v>0.7708333333333334</v>
      </c>
      <c r="K60" s="10">
        <v>30.0</v>
      </c>
      <c r="L60" s="13">
        <v>0.4895833333333333</v>
      </c>
      <c r="M60" s="13">
        <v>0.7291666666666666</v>
      </c>
      <c r="N60" s="10">
        <v>50.0</v>
      </c>
      <c r="O60" s="10">
        <v>1.0</v>
      </c>
      <c r="P60" s="10">
        <v>93.0</v>
      </c>
      <c r="Q60" s="14">
        <f t="shared" si="1"/>
        <v>46045</v>
      </c>
      <c r="R60" s="15">
        <f t="shared" si="2"/>
        <v>7.25</v>
      </c>
      <c r="S60" s="16">
        <f>IFERROR(__xludf.DUMMYFUNCTION("IFERROR( INDEX( FILTER( Reference!$F:$F, Reference!$A:$A = $E60, Reference!$E:$E = $D60, Reference!$C:$C = $Q60),1),""RATE_NOT_FOUND"")"),24.0)</f>
        <v>24</v>
      </c>
      <c r="T60" s="15">
        <f t="shared" si="3"/>
        <v>174</v>
      </c>
      <c r="U60" s="15">
        <f t="shared" si="4"/>
        <v>4.916666667</v>
      </c>
      <c r="V60" s="17">
        <f t="shared" si="5"/>
        <v>18.91525424</v>
      </c>
      <c r="W60" s="18" t="str">
        <f t="shared" si="6"/>
        <v>Tuesday</v>
      </c>
      <c r="X60" s="18">
        <f t="shared" si="7"/>
        <v>0</v>
      </c>
      <c r="Y60" s="14">
        <f>IFERROR(__xludf.DUMMYFUNCTION("IFERROR( INDEX( FILTER(Reference!$D:$D, Reference!$A:$A=$E60, Reference!$C:$C=$Q60), 1),"""")"),46052.0)</f>
        <v>46052</v>
      </c>
      <c r="Z60" s="18">
        <f t="shared" si="8"/>
        <v>4.916666667</v>
      </c>
      <c r="AA60" s="18">
        <f>IF(Z60=0,0, IF(Z60&gt;=LOOKUP(Q60,MinHr_Weekly_Bonus!A:A,MinHr_Weekly_Bonus!B:B), LOOKUP(Q60,MinHr_Weekly_Bonus!A:A,MinHr_Weekly_Bonus!C:C), 0))</f>
        <v>0</v>
      </c>
      <c r="AB60" s="15">
        <f t="shared" si="9"/>
        <v>174</v>
      </c>
      <c r="AC60" s="18" t="str">
        <f t="shared" si="10"/>
        <v/>
      </c>
    </row>
    <row r="61">
      <c r="A61" s="10" t="s">
        <v>36</v>
      </c>
      <c r="B61" s="12">
        <v>46042.0</v>
      </c>
      <c r="C61" s="10" t="s">
        <v>43</v>
      </c>
      <c r="D61" s="10" t="s">
        <v>8</v>
      </c>
      <c r="E61" s="10" t="s">
        <v>6</v>
      </c>
      <c r="F61" s="10" t="s">
        <v>7</v>
      </c>
      <c r="G61" s="10" t="s">
        <v>44</v>
      </c>
      <c r="H61" s="10" t="s">
        <v>42</v>
      </c>
      <c r="I61" s="13">
        <v>0.3958333333333333</v>
      </c>
      <c r="J61" s="13">
        <v>0.7708333333333334</v>
      </c>
      <c r="K61" s="10">
        <v>30.0</v>
      </c>
      <c r="L61" s="13">
        <v>0.4895833333333333</v>
      </c>
      <c r="M61" s="13">
        <v>0.7291666666666666</v>
      </c>
      <c r="N61" s="10">
        <v>50.0</v>
      </c>
      <c r="O61" s="10">
        <v>1.0</v>
      </c>
      <c r="P61" s="10">
        <v>108.0</v>
      </c>
      <c r="Q61" s="14">
        <f t="shared" si="1"/>
        <v>46045</v>
      </c>
      <c r="R61" s="15">
        <f t="shared" si="2"/>
        <v>8.5</v>
      </c>
      <c r="S61" s="16">
        <f>IFERROR(__xludf.DUMMYFUNCTION("IFERROR( INDEX( FILTER( Reference!$F:$F, Reference!$A:$A = $E61, Reference!$E:$E = $D61, Reference!$C:$C = $Q61),1),""RATE_NOT_FOUND"")"),24.0)</f>
        <v>24</v>
      </c>
      <c r="T61" s="15">
        <f t="shared" si="3"/>
        <v>204</v>
      </c>
      <c r="U61" s="15">
        <f t="shared" si="4"/>
        <v>4.916666667</v>
      </c>
      <c r="V61" s="17">
        <f t="shared" si="5"/>
        <v>21.96610169</v>
      </c>
      <c r="W61" s="18" t="str">
        <f t="shared" si="6"/>
        <v>Tuesday</v>
      </c>
      <c r="X61" s="18">
        <f t="shared" si="7"/>
        <v>0</v>
      </c>
      <c r="Y61" s="14">
        <f>IFERROR(__xludf.DUMMYFUNCTION("IFERROR( INDEX( FILTER(Reference!$D:$D, Reference!$A:$A=$E61, Reference!$C:$C=$Q61), 1),"""")"),46052.0)</f>
        <v>46052</v>
      </c>
      <c r="Z61" s="18">
        <f t="shared" si="8"/>
        <v>19.16666667</v>
      </c>
      <c r="AA61" s="18">
        <f>IF(Z61=0,0, IF(Z61&gt;=LOOKUP(Q61,MinHr_Weekly_Bonus!A:A,MinHr_Weekly_Bonus!B:B), LOOKUP(Q61,MinHr_Weekly_Bonus!A:A,MinHr_Weekly_Bonus!C:C), 0))</f>
        <v>0</v>
      </c>
      <c r="AB61" s="15">
        <f t="shared" si="9"/>
        <v>204</v>
      </c>
      <c r="AC61" s="18" t="str">
        <f t="shared" si="10"/>
        <v/>
      </c>
    </row>
    <row r="62">
      <c r="A62" s="10" t="s">
        <v>36</v>
      </c>
      <c r="B62" s="12">
        <v>46042.0</v>
      </c>
      <c r="C62" s="10" t="s">
        <v>67</v>
      </c>
      <c r="D62" s="10" t="s">
        <v>8</v>
      </c>
      <c r="E62" s="10" t="s">
        <v>11</v>
      </c>
      <c r="F62" s="10" t="s">
        <v>7</v>
      </c>
      <c r="G62" s="10" t="s">
        <v>44</v>
      </c>
      <c r="H62" s="10" t="s">
        <v>48</v>
      </c>
      <c r="I62" s="13">
        <v>0.3958333333333333</v>
      </c>
      <c r="J62" s="13">
        <v>0.7708333333333334</v>
      </c>
      <c r="K62" s="10">
        <v>30.0</v>
      </c>
      <c r="L62" s="13">
        <v>0.4895833333333333</v>
      </c>
      <c r="M62" s="13">
        <v>0.7291666666666666</v>
      </c>
      <c r="N62" s="10">
        <v>60.0</v>
      </c>
      <c r="O62" s="10">
        <v>1.0</v>
      </c>
      <c r="P62" s="10">
        <v>115.0</v>
      </c>
      <c r="Q62" s="14">
        <f t="shared" si="1"/>
        <v>46045</v>
      </c>
      <c r="R62" s="15">
        <f t="shared" si="2"/>
        <v>8.5</v>
      </c>
      <c r="S62" s="16">
        <f>IFERROR(__xludf.DUMMYFUNCTION("IFERROR( INDEX( FILTER( Reference!$F:$F, Reference!$A:$A = $E62, Reference!$E:$E = $D62, Reference!$C:$C = $Q62),1),""RATE_NOT_FOUND"")"),24.0)</f>
        <v>24</v>
      </c>
      <c r="T62" s="15">
        <f t="shared" si="3"/>
        <v>204</v>
      </c>
      <c r="U62" s="15">
        <f t="shared" si="4"/>
        <v>4.75</v>
      </c>
      <c r="V62" s="17">
        <f t="shared" si="5"/>
        <v>24.21052632</v>
      </c>
      <c r="W62" s="18" t="str">
        <f t="shared" si="6"/>
        <v>Tuesday</v>
      </c>
      <c r="X62" s="18">
        <f t="shared" si="7"/>
        <v>0</v>
      </c>
      <c r="Y62" s="14">
        <f>IFERROR(__xludf.DUMMYFUNCTION("IFERROR( INDEX( FILTER(Reference!$D:$D, Reference!$A:$A=$E62, Reference!$C:$C=$Q62), 1),"""")"),46052.0)</f>
        <v>46052</v>
      </c>
      <c r="Z62" s="18">
        <f t="shared" si="8"/>
        <v>9.733333333</v>
      </c>
      <c r="AA62" s="18">
        <f>IF(Z62=0,0, IF(Z62&gt;=LOOKUP(Q62,MinHr_Weekly_Bonus!A:A,MinHr_Weekly_Bonus!B:B), LOOKUP(Q62,MinHr_Weekly_Bonus!A:A,MinHr_Weekly_Bonus!C:C), 0))</f>
        <v>0</v>
      </c>
      <c r="AB62" s="15">
        <f t="shared" si="9"/>
        <v>204</v>
      </c>
      <c r="AC62" s="18" t="str">
        <f t="shared" si="10"/>
        <v/>
      </c>
    </row>
    <row r="63">
      <c r="A63" s="10" t="s">
        <v>36</v>
      </c>
      <c r="B63" s="12">
        <v>46042.0</v>
      </c>
      <c r="C63" s="10" t="s">
        <v>53</v>
      </c>
      <c r="D63" s="10" t="s">
        <v>8</v>
      </c>
      <c r="E63" s="10" t="s">
        <v>11</v>
      </c>
      <c r="F63" s="10" t="s">
        <v>7</v>
      </c>
      <c r="G63" s="10" t="s">
        <v>44</v>
      </c>
      <c r="H63" s="10" t="s">
        <v>48</v>
      </c>
      <c r="I63" s="13">
        <v>0.4479166666666667</v>
      </c>
      <c r="J63" s="13">
        <v>0.7708333333333334</v>
      </c>
      <c r="K63" s="10">
        <v>30.0</v>
      </c>
      <c r="L63" s="13">
        <v>0.4930555555555556</v>
      </c>
      <c r="M63" s="13">
        <v>0.7291666666666666</v>
      </c>
      <c r="N63" s="10">
        <v>50.0</v>
      </c>
      <c r="O63" s="10">
        <v>1.0</v>
      </c>
      <c r="P63" s="10">
        <v>66.0</v>
      </c>
      <c r="Q63" s="14">
        <f t="shared" si="1"/>
        <v>46045</v>
      </c>
      <c r="R63" s="15">
        <f t="shared" si="2"/>
        <v>7.25</v>
      </c>
      <c r="S63" s="16">
        <f>IFERROR(__xludf.DUMMYFUNCTION("IFERROR( INDEX( FILTER( Reference!$F:$F, Reference!$A:$A = $E63, Reference!$E:$E = $D63, Reference!$C:$C = $Q63),1),""RATE_NOT_FOUND"")"),24.0)</f>
        <v>24</v>
      </c>
      <c r="T63" s="15">
        <f t="shared" si="3"/>
        <v>174</v>
      </c>
      <c r="U63" s="15">
        <f t="shared" si="4"/>
        <v>4.833333333</v>
      </c>
      <c r="V63" s="17">
        <f t="shared" si="5"/>
        <v>13.65517241</v>
      </c>
      <c r="W63" s="18" t="str">
        <f t="shared" si="6"/>
        <v>Tuesday</v>
      </c>
      <c r="X63" s="18">
        <f t="shared" si="7"/>
        <v>0</v>
      </c>
      <c r="Y63" s="14">
        <f>IFERROR(__xludf.DUMMYFUNCTION("IFERROR( INDEX( FILTER(Reference!$D:$D, Reference!$A:$A=$E63, Reference!$C:$C=$Q63), 1),"""")"),46052.0)</f>
        <v>46052</v>
      </c>
      <c r="Z63" s="18">
        <f t="shared" si="8"/>
        <v>9.416666667</v>
      </c>
      <c r="AA63" s="18">
        <f>IF(Z63=0,0, IF(Z63&gt;=LOOKUP(Q63,MinHr_Weekly_Bonus!A:A,MinHr_Weekly_Bonus!B:B), LOOKUP(Q63,MinHr_Weekly_Bonus!A:A,MinHr_Weekly_Bonus!C:C), 0))</f>
        <v>0</v>
      </c>
      <c r="AB63" s="15">
        <f t="shared" si="9"/>
        <v>174</v>
      </c>
      <c r="AC63" s="18" t="str">
        <f t="shared" si="10"/>
        <v/>
      </c>
    </row>
    <row r="64">
      <c r="A64" s="10" t="s">
        <v>36</v>
      </c>
      <c r="B64" s="12">
        <v>46042.0</v>
      </c>
      <c r="C64" s="10" t="s">
        <v>57</v>
      </c>
      <c r="D64" s="10" t="s">
        <v>8</v>
      </c>
      <c r="E64" s="10" t="s">
        <v>11</v>
      </c>
      <c r="F64" s="10" t="s">
        <v>7</v>
      </c>
      <c r="G64" s="10" t="s">
        <v>44</v>
      </c>
      <c r="H64" s="10" t="s">
        <v>48</v>
      </c>
      <c r="I64" s="13">
        <v>0.45694444444444443</v>
      </c>
      <c r="J64" s="13">
        <v>0.7708333333333334</v>
      </c>
      <c r="K64" s="10">
        <v>30.0</v>
      </c>
      <c r="L64" s="13">
        <v>0.4826388888888889</v>
      </c>
      <c r="M64" s="13">
        <v>0.7291666666666666</v>
      </c>
      <c r="N64" s="10">
        <v>50.0</v>
      </c>
      <c r="O64" s="10">
        <v>1.0</v>
      </c>
      <c r="P64" s="10">
        <v>84.0</v>
      </c>
      <c r="Q64" s="14">
        <f t="shared" si="1"/>
        <v>46045</v>
      </c>
      <c r="R64" s="15">
        <f t="shared" si="2"/>
        <v>7.033333333</v>
      </c>
      <c r="S64" s="16">
        <f>IFERROR(__xludf.DUMMYFUNCTION("IFERROR( INDEX( FILTER( Reference!$F:$F, Reference!$A:$A = $E64, Reference!$E:$E = $D64, Reference!$C:$C = $Q64),1),""RATE_NOT_FOUND"")"),24.0)</f>
        <v>24</v>
      </c>
      <c r="T64" s="15">
        <f t="shared" si="3"/>
        <v>168.8</v>
      </c>
      <c r="U64" s="15">
        <f t="shared" si="4"/>
        <v>5.083333333</v>
      </c>
      <c r="V64" s="17">
        <f t="shared" si="5"/>
        <v>16.52459016</v>
      </c>
      <c r="W64" s="18" t="str">
        <f t="shared" si="6"/>
        <v>Tuesday</v>
      </c>
      <c r="X64" s="18">
        <f t="shared" si="7"/>
        <v>0</v>
      </c>
      <c r="Y64" s="14">
        <f>IFERROR(__xludf.DUMMYFUNCTION("IFERROR( INDEX( FILTER(Reference!$D:$D, Reference!$A:$A=$E64, Reference!$C:$C=$Q64), 1),"""")"),46052.0)</f>
        <v>46052</v>
      </c>
      <c r="Z64" s="18">
        <f t="shared" si="8"/>
        <v>15.13333333</v>
      </c>
      <c r="AA64" s="18">
        <f>IF(Z64=0,0, IF(Z64&gt;=LOOKUP(Q64,MinHr_Weekly_Bonus!A:A,MinHr_Weekly_Bonus!B:B), LOOKUP(Q64,MinHr_Weekly_Bonus!A:A,MinHr_Weekly_Bonus!C:C), 0))</f>
        <v>0</v>
      </c>
      <c r="AB64" s="15">
        <f t="shared" si="9"/>
        <v>168.8</v>
      </c>
      <c r="AC64" s="18" t="str">
        <f t="shared" si="10"/>
        <v/>
      </c>
    </row>
    <row r="65">
      <c r="A65" s="10" t="s">
        <v>36</v>
      </c>
      <c r="B65" s="12">
        <v>46042.0</v>
      </c>
      <c r="C65" s="10" t="s">
        <v>58</v>
      </c>
      <c r="D65" s="10" t="s">
        <v>8</v>
      </c>
      <c r="E65" s="10" t="s">
        <v>11</v>
      </c>
      <c r="F65" s="10" t="s">
        <v>7</v>
      </c>
      <c r="G65" s="10" t="s">
        <v>44</v>
      </c>
      <c r="H65" s="10" t="s">
        <v>48</v>
      </c>
      <c r="I65" s="13">
        <v>0.4534722222222222</v>
      </c>
      <c r="J65" s="13">
        <v>0.7805555555555556</v>
      </c>
      <c r="K65" s="10">
        <v>30.0</v>
      </c>
      <c r="L65" s="13">
        <v>0.4826388888888889</v>
      </c>
      <c r="M65" s="13">
        <v>0.7291666666666666</v>
      </c>
      <c r="N65" s="10">
        <v>50.0</v>
      </c>
      <c r="O65" s="10">
        <v>1.0</v>
      </c>
      <c r="P65" s="10">
        <v>65.0</v>
      </c>
      <c r="Q65" s="14">
        <f t="shared" si="1"/>
        <v>46045</v>
      </c>
      <c r="R65" s="15">
        <f t="shared" si="2"/>
        <v>7.35</v>
      </c>
      <c r="S65" s="16">
        <f>IFERROR(__xludf.DUMMYFUNCTION("IFERROR( INDEX( FILTER( Reference!$F:$F, Reference!$A:$A = $E65, Reference!$E:$E = $D65, Reference!$C:$C = $Q65),1),""RATE_NOT_FOUND"")"),24.0)</f>
        <v>24</v>
      </c>
      <c r="T65" s="15">
        <f t="shared" si="3"/>
        <v>176.4</v>
      </c>
      <c r="U65" s="15">
        <f t="shared" si="4"/>
        <v>5.083333333</v>
      </c>
      <c r="V65" s="17">
        <f t="shared" si="5"/>
        <v>12.78688525</v>
      </c>
      <c r="W65" s="18" t="str">
        <f t="shared" si="6"/>
        <v>Tuesday</v>
      </c>
      <c r="X65" s="18">
        <f t="shared" si="7"/>
        <v>0</v>
      </c>
      <c r="Y65" s="14">
        <f>IFERROR(__xludf.DUMMYFUNCTION("IFERROR( INDEX( FILTER(Reference!$D:$D, Reference!$A:$A=$E65, Reference!$C:$C=$Q65), 1),"""")"),46052.0)</f>
        <v>46052</v>
      </c>
      <c r="Z65" s="18">
        <f t="shared" si="8"/>
        <v>24.71666667</v>
      </c>
      <c r="AA65" s="18">
        <f>IF(Z65=0,0, IF(Z65&gt;=LOOKUP(Q65,MinHr_Weekly_Bonus!A:A,MinHr_Weekly_Bonus!B:B), LOOKUP(Q65,MinHr_Weekly_Bonus!A:A,MinHr_Weekly_Bonus!C:C), 0))</f>
        <v>100</v>
      </c>
      <c r="AB65" s="15">
        <f t="shared" si="9"/>
        <v>176.4</v>
      </c>
      <c r="AC65" s="18" t="str">
        <f t="shared" si="10"/>
        <v/>
      </c>
    </row>
    <row r="66">
      <c r="A66" s="10" t="s">
        <v>36</v>
      </c>
      <c r="B66" s="12">
        <v>46042.0</v>
      </c>
      <c r="C66" s="10" t="s">
        <v>48</v>
      </c>
      <c r="D66" s="10" t="s">
        <v>9</v>
      </c>
      <c r="E66" s="10" t="s">
        <v>11</v>
      </c>
      <c r="F66" s="10" t="s">
        <v>7</v>
      </c>
      <c r="G66" s="10" t="s">
        <v>44</v>
      </c>
      <c r="H66" s="10" t="s">
        <v>48</v>
      </c>
      <c r="I66" s="13">
        <v>0.44583333333333336</v>
      </c>
      <c r="J66" s="13">
        <v>0.7604166666666666</v>
      </c>
      <c r="K66" s="10">
        <v>30.0</v>
      </c>
      <c r="L66" s="13">
        <v>0.4791666666666667</v>
      </c>
      <c r="M66" s="13">
        <v>0.7291666666666666</v>
      </c>
      <c r="N66" s="10">
        <v>70.0</v>
      </c>
      <c r="O66" s="10">
        <v>1.0</v>
      </c>
      <c r="P66" s="10">
        <v>105.0</v>
      </c>
      <c r="Q66" s="14">
        <f t="shared" si="1"/>
        <v>46045</v>
      </c>
      <c r="R66" s="15">
        <f t="shared" si="2"/>
        <v>7.05</v>
      </c>
      <c r="S66" s="16">
        <f>IFERROR(__xludf.DUMMYFUNCTION("IFERROR( INDEX( FILTER( Reference!$F:$F, Reference!$A:$A = $E66, Reference!$E:$E = $D66, Reference!$C:$C = $Q66),1),""RATE_NOT_FOUND"")"),26.0)</f>
        <v>26</v>
      </c>
      <c r="T66" s="15">
        <f t="shared" si="3"/>
        <v>183.3</v>
      </c>
      <c r="U66" s="15">
        <f t="shared" si="4"/>
        <v>4.833333333</v>
      </c>
      <c r="V66" s="17">
        <f t="shared" si="5"/>
        <v>21.72413793</v>
      </c>
      <c r="W66" s="18" t="str">
        <f t="shared" si="6"/>
        <v>Tuesday</v>
      </c>
      <c r="X66" s="18">
        <f t="shared" si="7"/>
        <v>0</v>
      </c>
      <c r="Y66" s="14">
        <f>IFERROR(__xludf.DUMMYFUNCTION("IFERROR( INDEX( FILTER(Reference!$D:$D, Reference!$A:$A=$E66, Reference!$C:$C=$Q66), 1),"""")"),46052.0)</f>
        <v>46052</v>
      </c>
      <c r="Z66" s="18">
        <f t="shared" si="8"/>
        <v>19.75</v>
      </c>
      <c r="AA66" s="18">
        <f>IF(Z66=0,0, IF(Z66&gt;=LOOKUP(Q66,MinHr_Weekly_Bonus!A:A,MinHr_Weekly_Bonus!B:B), LOOKUP(Q66,MinHr_Weekly_Bonus!A:A,MinHr_Weekly_Bonus!C:C), 0))</f>
        <v>0</v>
      </c>
      <c r="AB66" s="15">
        <f t="shared" si="9"/>
        <v>183.3</v>
      </c>
      <c r="AC66" s="18" t="str">
        <f t="shared" si="10"/>
        <v/>
      </c>
    </row>
    <row r="67">
      <c r="A67" s="10" t="s">
        <v>36</v>
      </c>
      <c r="B67" s="12">
        <v>46042.0</v>
      </c>
      <c r="C67" s="10" t="s">
        <v>37</v>
      </c>
      <c r="D67" s="10" t="s">
        <v>9</v>
      </c>
      <c r="E67" s="10" t="s">
        <v>11</v>
      </c>
      <c r="F67" s="10" t="s">
        <v>7</v>
      </c>
      <c r="G67" s="10" t="s">
        <v>44</v>
      </c>
      <c r="H67" s="10" t="s">
        <v>37</v>
      </c>
      <c r="I67" s="13">
        <v>0.4236111111111111</v>
      </c>
      <c r="J67" s="13">
        <v>0.7666666666666667</v>
      </c>
      <c r="K67" s="10">
        <v>30.0</v>
      </c>
      <c r="L67" s="13">
        <v>0.4895833333333333</v>
      </c>
      <c r="M67" s="13">
        <v>0.7291666666666666</v>
      </c>
      <c r="N67" s="10">
        <v>80.0</v>
      </c>
      <c r="O67" s="10">
        <v>1.0</v>
      </c>
      <c r="P67" s="10">
        <v>92.0</v>
      </c>
      <c r="Q67" s="14">
        <f t="shared" si="1"/>
        <v>46045</v>
      </c>
      <c r="R67" s="15">
        <f t="shared" si="2"/>
        <v>7.733333333</v>
      </c>
      <c r="S67" s="16">
        <f>IFERROR(__xludf.DUMMYFUNCTION("IFERROR( INDEX( FILTER( Reference!$F:$F, Reference!$A:$A = $E67, Reference!$E:$E = $D67, Reference!$C:$C = $Q67),1),""RATE_NOT_FOUND"")"),26.0)</f>
        <v>26</v>
      </c>
      <c r="T67" s="15">
        <f t="shared" si="3"/>
        <v>201.0666667</v>
      </c>
      <c r="U67" s="15">
        <f t="shared" si="4"/>
        <v>4.416666667</v>
      </c>
      <c r="V67" s="17">
        <f t="shared" si="5"/>
        <v>20.83018868</v>
      </c>
      <c r="W67" s="18" t="str">
        <f t="shared" si="6"/>
        <v>Tuesday</v>
      </c>
      <c r="X67" s="18">
        <f t="shared" si="7"/>
        <v>0</v>
      </c>
      <c r="Y67" s="14">
        <f>IFERROR(__xludf.DUMMYFUNCTION("IFERROR( INDEX( FILTER(Reference!$D:$D, Reference!$A:$A=$E67, Reference!$C:$C=$Q67), 1),"""")"),46052.0)</f>
        <v>46052</v>
      </c>
      <c r="Z67" s="18">
        <f t="shared" si="8"/>
        <v>24.43333333</v>
      </c>
      <c r="AA67" s="18">
        <f>IF(Z67=0,0, IF(Z67&gt;=LOOKUP(Q67,MinHr_Weekly_Bonus!A:A,MinHr_Weekly_Bonus!B:B), LOOKUP(Q67,MinHr_Weekly_Bonus!A:A,MinHr_Weekly_Bonus!C:C), 0))</f>
        <v>100</v>
      </c>
      <c r="AB67" s="15">
        <f t="shared" si="9"/>
        <v>201.0666667</v>
      </c>
      <c r="AC67" s="18" t="str">
        <f t="shared" si="10"/>
        <v/>
      </c>
    </row>
    <row r="68">
      <c r="A68" s="10" t="s">
        <v>36</v>
      </c>
      <c r="B68" s="12">
        <v>46042.0</v>
      </c>
      <c r="C68" s="10" t="s">
        <v>49</v>
      </c>
      <c r="D68" s="10" t="s">
        <v>8</v>
      </c>
      <c r="E68" s="10" t="s">
        <v>11</v>
      </c>
      <c r="F68" s="10" t="s">
        <v>7</v>
      </c>
      <c r="G68" s="10" t="s">
        <v>44</v>
      </c>
      <c r="H68" s="10" t="s">
        <v>37</v>
      </c>
      <c r="I68" s="13">
        <v>0.44722222222222224</v>
      </c>
      <c r="J68" s="13">
        <v>0.7604166666666666</v>
      </c>
      <c r="K68" s="10">
        <v>30.0</v>
      </c>
      <c r="L68" s="13">
        <v>0.4791666666666667</v>
      </c>
      <c r="M68" s="13">
        <v>0.7291666666666666</v>
      </c>
      <c r="N68" s="10">
        <v>70.0</v>
      </c>
      <c r="O68" s="10">
        <v>1.0</v>
      </c>
      <c r="P68" s="10">
        <v>59.0</v>
      </c>
      <c r="Q68" s="14">
        <f t="shared" si="1"/>
        <v>46045</v>
      </c>
      <c r="R68" s="15">
        <f t="shared" si="2"/>
        <v>7.016666667</v>
      </c>
      <c r="S68" s="16">
        <f>IFERROR(__xludf.DUMMYFUNCTION("IFERROR( INDEX( FILTER( Reference!$F:$F, Reference!$A:$A = $E68, Reference!$E:$E = $D68, Reference!$C:$C = $Q68),1),""RATE_NOT_FOUND"")"),24.0)</f>
        <v>24</v>
      </c>
      <c r="T68" s="15">
        <f t="shared" si="3"/>
        <v>168.4</v>
      </c>
      <c r="U68" s="15">
        <f t="shared" si="4"/>
        <v>4.833333333</v>
      </c>
      <c r="V68" s="17">
        <f t="shared" si="5"/>
        <v>12.20689655</v>
      </c>
      <c r="W68" s="18" t="str">
        <f t="shared" si="6"/>
        <v>Tuesday</v>
      </c>
      <c r="X68" s="18">
        <f t="shared" si="7"/>
        <v>0</v>
      </c>
      <c r="Y68" s="14">
        <f>IFERROR(__xludf.DUMMYFUNCTION("IFERROR( INDEX( FILTER(Reference!$D:$D, Reference!$A:$A=$E68, Reference!$C:$C=$Q68), 1),"""")"),46052.0)</f>
        <v>46052</v>
      </c>
      <c r="Z68" s="18">
        <f t="shared" si="8"/>
        <v>24.91666667</v>
      </c>
      <c r="AA68" s="18">
        <f>IF(Z68=0,0, IF(Z68&gt;=LOOKUP(Q68,MinHr_Weekly_Bonus!A:A,MinHr_Weekly_Bonus!B:B), LOOKUP(Q68,MinHr_Weekly_Bonus!A:A,MinHr_Weekly_Bonus!C:C), 0))</f>
        <v>100</v>
      </c>
      <c r="AB68" s="15">
        <f t="shared" si="9"/>
        <v>168.4</v>
      </c>
      <c r="AC68" s="18" t="str">
        <f t="shared" si="10"/>
        <v/>
      </c>
    </row>
    <row r="69">
      <c r="A69" s="10" t="s">
        <v>36</v>
      </c>
      <c r="B69" s="12">
        <v>46042.0</v>
      </c>
      <c r="C69" s="10" t="s">
        <v>52</v>
      </c>
      <c r="D69" s="10" t="s">
        <v>8</v>
      </c>
      <c r="E69" s="10" t="s">
        <v>11</v>
      </c>
      <c r="F69" s="10" t="s">
        <v>7</v>
      </c>
      <c r="G69" s="10" t="s">
        <v>44</v>
      </c>
      <c r="H69" s="10" t="s">
        <v>37</v>
      </c>
      <c r="I69" s="13">
        <v>0.4479166666666667</v>
      </c>
      <c r="J69" s="13">
        <v>0.7791666666666667</v>
      </c>
      <c r="K69" s="10">
        <v>30.0</v>
      </c>
      <c r="L69" s="13">
        <v>0.4791666666666667</v>
      </c>
      <c r="M69" s="13">
        <v>0.7291666666666666</v>
      </c>
      <c r="N69" s="10">
        <v>50.0</v>
      </c>
      <c r="O69" s="10">
        <v>1.0</v>
      </c>
      <c r="P69" s="10">
        <v>82.0</v>
      </c>
      <c r="Q69" s="14">
        <f t="shared" si="1"/>
        <v>46045</v>
      </c>
      <c r="R69" s="15">
        <f t="shared" si="2"/>
        <v>7.45</v>
      </c>
      <c r="S69" s="16">
        <f>IFERROR(__xludf.DUMMYFUNCTION("IFERROR( INDEX( FILTER( Reference!$F:$F, Reference!$A:$A = $E69, Reference!$E:$E = $D69, Reference!$C:$C = $Q69),1),""RATE_NOT_FOUND"")"),24.0)</f>
        <v>24</v>
      </c>
      <c r="T69" s="15">
        <f t="shared" si="3"/>
        <v>178.8</v>
      </c>
      <c r="U69" s="15">
        <f t="shared" si="4"/>
        <v>5.166666667</v>
      </c>
      <c r="V69" s="17">
        <f t="shared" si="5"/>
        <v>15.87096774</v>
      </c>
      <c r="W69" s="18" t="str">
        <f t="shared" si="6"/>
        <v>Tuesday</v>
      </c>
      <c r="X69" s="18">
        <f t="shared" si="7"/>
        <v>0</v>
      </c>
      <c r="Y69" s="14">
        <f>IFERROR(__xludf.DUMMYFUNCTION("IFERROR( INDEX( FILTER(Reference!$D:$D, Reference!$A:$A=$E69, Reference!$C:$C=$Q69), 1),"""")"),46052.0)</f>
        <v>46052</v>
      </c>
      <c r="Z69" s="18">
        <f t="shared" si="8"/>
        <v>25.35</v>
      </c>
      <c r="AA69" s="18">
        <f>IF(Z69=0,0, IF(Z69&gt;=LOOKUP(Q69,MinHr_Weekly_Bonus!A:A,MinHr_Weekly_Bonus!B:B), LOOKUP(Q69,MinHr_Weekly_Bonus!A:A,MinHr_Weekly_Bonus!C:C), 0))</f>
        <v>100</v>
      </c>
      <c r="AB69" s="15">
        <f t="shared" si="9"/>
        <v>178.8</v>
      </c>
      <c r="AC69" s="18" t="str">
        <f t="shared" si="10"/>
        <v/>
      </c>
    </row>
    <row r="70">
      <c r="A70" s="10" t="s">
        <v>36</v>
      </c>
      <c r="B70" s="12">
        <v>46042.0</v>
      </c>
      <c r="C70" s="10" t="s">
        <v>59</v>
      </c>
      <c r="D70" s="10" t="s">
        <v>8</v>
      </c>
      <c r="E70" s="10" t="s">
        <v>11</v>
      </c>
      <c r="F70" s="10" t="s">
        <v>7</v>
      </c>
      <c r="G70" s="10" t="s">
        <v>44</v>
      </c>
      <c r="H70" s="10" t="s">
        <v>37</v>
      </c>
      <c r="I70" s="13">
        <v>0.45</v>
      </c>
      <c r="J70" s="13">
        <v>0.7618055555555555</v>
      </c>
      <c r="K70" s="10">
        <v>30.0</v>
      </c>
      <c r="L70" s="13">
        <v>0.4895833333333333</v>
      </c>
      <c r="M70" s="13">
        <v>0.7291666666666666</v>
      </c>
      <c r="N70" s="10">
        <v>80.0</v>
      </c>
      <c r="O70" s="10">
        <v>1.0</v>
      </c>
      <c r="P70" s="10">
        <v>117.0</v>
      </c>
      <c r="Q70" s="14">
        <f t="shared" si="1"/>
        <v>46045</v>
      </c>
      <c r="R70" s="15">
        <f t="shared" si="2"/>
        <v>6.983333333</v>
      </c>
      <c r="S70" s="16">
        <f>IFERROR(__xludf.DUMMYFUNCTION("IFERROR( INDEX( FILTER( Reference!$F:$F, Reference!$A:$A = $E70, Reference!$E:$E = $D70, Reference!$C:$C = $Q70),1),""RATE_NOT_FOUND"")"),24.0)</f>
        <v>24</v>
      </c>
      <c r="T70" s="15">
        <f t="shared" si="3"/>
        <v>167.6</v>
      </c>
      <c r="U70" s="15">
        <f t="shared" si="4"/>
        <v>4.416666667</v>
      </c>
      <c r="V70" s="17">
        <f t="shared" si="5"/>
        <v>26.49056604</v>
      </c>
      <c r="W70" s="18" t="str">
        <f t="shared" si="6"/>
        <v>Tuesday</v>
      </c>
      <c r="X70" s="18">
        <f t="shared" si="7"/>
        <v>0</v>
      </c>
      <c r="Y70" s="14">
        <f>IFERROR(__xludf.DUMMYFUNCTION("IFERROR( INDEX( FILTER(Reference!$D:$D, Reference!$A:$A=$E70, Reference!$C:$C=$Q70), 1),"""")"),46052.0)</f>
        <v>46052</v>
      </c>
      <c r="Z70" s="18">
        <f t="shared" si="8"/>
        <v>19.16666667</v>
      </c>
      <c r="AA70" s="18">
        <f>IF(Z70=0,0, IF(Z70&gt;=LOOKUP(Q70,MinHr_Weekly_Bonus!A:A,MinHr_Weekly_Bonus!B:B), LOOKUP(Q70,MinHr_Weekly_Bonus!A:A,MinHr_Weekly_Bonus!C:C), 0))</f>
        <v>0</v>
      </c>
      <c r="AB70" s="15">
        <f t="shared" si="9"/>
        <v>167.6</v>
      </c>
      <c r="AC70" s="18" t="str">
        <f t="shared" si="10"/>
        <v/>
      </c>
    </row>
    <row r="71">
      <c r="A71" s="10" t="s">
        <v>36</v>
      </c>
      <c r="B71" s="12">
        <v>46043.0</v>
      </c>
      <c r="C71" s="10" t="s">
        <v>50</v>
      </c>
      <c r="D71" s="10" t="s">
        <v>8</v>
      </c>
      <c r="E71" s="10" t="s">
        <v>11</v>
      </c>
      <c r="F71" s="10" t="s">
        <v>7</v>
      </c>
      <c r="G71" s="10" t="s">
        <v>38</v>
      </c>
      <c r="H71" s="10" t="s">
        <v>37</v>
      </c>
      <c r="I71" s="13">
        <v>0.5</v>
      </c>
      <c r="J71" s="13">
        <v>0.5833333333333334</v>
      </c>
      <c r="K71" s="10">
        <v>0.0</v>
      </c>
      <c r="O71" s="10">
        <v>0.0</v>
      </c>
      <c r="P71" s="10">
        <v>0.0</v>
      </c>
      <c r="Q71" s="14">
        <f t="shared" si="1"/>
        <v>46045</v>
      </c>
      <c r="R71" s="15">
        <f t="shared" si="2"/>
        <v>2</v>
      </c>
      <c r="S71" s="16">
        <f>IFERROR(__xludf.DUMMYFUNCTION("IFERROR( INDEX( FILTER( Reference!$F:$F, Reference!$A:$A = $E71, Reference!$E:$E = $D71, Reference!$C:$C = $Q71),1),""RATE_NOT_FOUND"")"),24.0)</f>
        <v>24</v>
      </c>
      <c r="T71" s="15">
        <f t="shared" si="3"/>
        <v>48</v>
      </c>
      <c r="U71" s="15">
        <f t="shared" si="4"/>
        <v>0</v>
      </c>
      <c r="V71" s="17">
        <f t="shared" si="5"/>
        <v>0</v>
      </c>
      <c r="W71" s="18" t="str">
        <f t="shared" si="6"/>
        <v>Wednesday</v>
      </c>
      <c r="X71" s="18">
        <f t="shared" si="7"/>
        <v>0</v>
      </c>
      <c r="Y71" s="14">
        <f>IFERROR(__xludf.DUMMYFUNCTION("IFERROR( INDEX( FILTER(Reference!$D:$D, Reference!$A:$A=$E71, Reference!$C:$C=$Q71), 1),"""")"),46052.0)</f>
        <v>46052</v>
      </c>
      <c r="Z71" s="18">
        <f t="shared" si="8"/>
        <v>0</v>
      </c>
      <c r="AA71" s="18">
        <f>IF(Z71=0,0, IF(Z71&gt;=LOOKUP(Q71,MinHr_Weekly_Bonus!A:A,MinHr_Weekly_Bonus!B:B), LOOKUP(Q71,MinHr_Weekly_Bonus!A:A,MinHr_Weekly_Bonus!C:C), 0))</f>
        <v>0</v>
      </c>
      <c r="AB71" s="15">
        <f t="shared" si="9"/>
        <v>48</v>
      </c>
      <c r="AC71" s="18" t="str">
        <f t="shared" si="10"/>
        <v/>
      </c>
    </row>
    <row r="72">
      <c r="A72" s="10" t="s">
        <v>36</v>
      </c>
      <c r="B72" s="12">
        <v>46043.0</v>
      </c>
      <c r="C72" s="10" t="s">
        <v>59</v>
      </c>
      <c r="D72" s="10" t="s">
        <v>8</v>
      </c>
      <c r="E72" s="10" t="s">
        <v>11</v>
      </c>
      <c r="F72" s="10" t="s">
        <v>7</v>
      </c>
      <c r="G72" s="10" t="s">
        <v>44</v>
      </c>
      <c r="H72" s="10" t="s">
        <v>37</v>
      </c>
      <c r="I72" s="13">
        <v>0.45</v>
      </c>
      <c r="J72" s="13">
        <v>0.7916666666666666</v>
      </c>
      <c r="K72" s="10">
        <v>30.0</v>
      </c>
      <c r="L72" s="13">
        <v>0.4895833333333333</v>
      </c>
      <c r="M72" s="13">
        <v>0.7291666666666666</v>
      </c>
      <c r="N72" s="10">
        <v>50.0</v>
      </c>
      <c r="O72" s="10">
        <v>1.0</v>
      </c>
      <c r="P72" s="10">
        <v>79.0</v>
      </c>
      <c r="Q72" s="14">
        <f t="shared" si="1"/>
        <v>46045</v>
      </c>
      <c r="R72" s="15">
        <f t="shared" si="2"/>
        <v>7.7</v>
      </c>
      <c r="S72" s="16">
        <f>IFERROR(__xludf.DUMMYFUNCTION("IFERROR( INDEX( FILTER( Reference!$F:$F, Reference!$A:$A = $E72, Reference!$E:$E = $D72, Reference!$C:$C = $Q72),1),""RATE_NOT_FOUND"")"),24.0)</f>
        <v>24</v>
      </c>
      <c r="T72" s="15">
        <f t="shared" si="3"/>
        <v>184.8</v>
      </c>
      <c r="U72" s="15">
        <f t="shared" si="4"/>
        <v>4.916666667</v>
      </c>
      <c r="V72" s="17">
        <f t="shared" si="5"/>
        <v>16.06779661</v>
      </c>
      <c r="W72" s="18" t="str">
        <f t="shared" si="6"/>
        <v>Wednesday</v>
      </c>
      <c r="X72" s="18">
        <f t="shared" si="7"/>
        <v>0</v>
      </c>
      <c r="Y72" s="14">
        <f>IFERROR(__xludf.DUMMYFUNCTION("IFERROR( INDEX( FILTER(Reference!$D:$D, Reference!$A:$A=$E72, Reference!$C:$C=$Q72), 1),"""")"),46052.0)</f>
        <v>46052</v>
      </c>
      <c r="Z72" s="18">
        <f t="shared" si="8"/>
        <v>19.16666667</v>
      </c>
      <c r="AA72" s="18">
        <f>IF(Z72=0,0, IF(Z72&gt;=LOOKUP(Q72,MinHr_Weekly_Bonus!A:A,MinHr_Weekly_Bonus!B:B), LOOKUP(Q72,MinHr_Weekly_Bonus!A:A,MinHr_Weekly_Bonus!C:C), 0))</f>
        <v>0</v>
      </c>
      <c r="AB72" s="15">
        <f t="shared" si="9"/>
        <v>184.8</v>
      </c>
      <c r="AC72" s="18" t="str">
        <f t="shared" si="10"/>
        <v/>
      </c>
    </row>
    <row r="73">
      <c r="A73" s="10" t="s">
        <v>36</v>
      </c>
      <c r="B73" s="12">
        <v>46043.0</v>
      </c>
      <c r="C73" s="10" t="s">
        <v>58</v>
      </c>
      <c r="D73" s="10" t="s">
        <v>8</v>
      </c>
      <c r="E73" s="10" t="s">
        <v>11</v>
      </c>
      <c r="F73" s="10" t="s">
        <v>7</v>
      </c>
      <c r="G73" s="10" t="s">
        <v>44</v>
      </c>
      <c r="H73" s="10" t="s">
        <v>37</v>
      </c>
      <c r="I73" s="13">
        <v>0.44583333333333336</v>
      </c>
      <c r="J73" s="13">
        <v>0.7840277777777778</v>
      </c>
      <c r="K73" s="10">
        <v>30.0</v>
      </c>
      <c r="L73" s="13">
        <v>0.4826388888888889</v>
      </c>
      <c r="M73" s="13">
        <v>0.7291666666666666</v>
      </c>
      <c r="N73" s="10">
        <v>50.0</v>
      </c>
      <c r="O73" s="10">
        <v>1.0</v>
      </c>
      <c r="P73" s="10">
        <v>84.0</v>
      </c>
      <c r="Q73" s="14">
        <f t="shared" si="1"/>
        <v>46045</v>
      </c>
      <c r="R73" s="15">
        <f t="shared" si="2"/>
        <v>7.616666667</v>
      </c>
      <c r="S73" s="16">
        <f>IFERROR(__xludf.DUMMYFUNCTION("IFERROR( INDEX( FILTER( Reference!$F:$F, Reference!$A:$A = $E73, Reference!$E:$E = $D73, Reference!$C:$C = $Q73),1),""RATE_NOT_FOUND"")"),24.0)</f>
        <v>24</v>
      </c>
      <c r="T73" s="15">
        <f t="shared" si="3"/>
        <v>182.8</v>
      </c>
      <c r="U73" s="15">
        <f t="shared" si="4"/>
        <v>5.083333333</v>
      </c>
      <c r="V73" s="17">
        <f t="shared" si="5"/>
        <v>16.52459016</v>
      </c>
      <c r="W73" s="18" t="str">
        <f t="shared" si="6"/>
        <v>Wednesday</v>
      </c>
      <c r="X73" s="18">
        <f t="shared" si="7"/>
        <v>0</v>
      </c>
      <c r="Y73" s="14">
        <f>IFERROR(__xludf.DUMMYFUNCTION("IFERROR( INDEX( FILTER(Reference!$D:$D, Reference!$A:$A=$E73, Reference!$C:$C=$Q73), 1),"""")"),46052.0)</f>
        <v>46052</v>
      </c>
      <c r="Z73" s="18">
        <f t="shared" si="8"/>
        <v>24.71666667</v>
      </c>
      <c r="AA73" s="18">
        <f>IF(Z73=0,0, IF(Z73&gt;=LOOKUP(Q73,MinHr_Weekly_Bonus!A:A,MinHr_Weekly_Bonus!B:B), LOOKUP(Q73,MinHr_Weekly_Bonus!A:A,MinHr_Weekly_Bonus!C:C), 0))</f>
        <v>100</v>
      </c>
      <c r="AB73" s="15">
        <f t="shared" si="9"/>
        <v>182.8</v>
      </c>
      <c r="AC73" s="18" t="str">
        <f t="shared" si="10"/>
        <v/>
      </c>
    </row>
    <row r="74">
      <c r="A74" s="10" t="s">
        <v>36</v>
      </c>
      <c r="B74" s="12">
        <v>46043.0</v>
      </c>
      <c r="C74" s="10" t="s">
        <v>37</v>
      </c>
      <c r="D74" s="10" t="s">
        <v>9</v>
      </c>
      <c r="E74" s="10" t="s">
        <v>11</v>
      </c>
      <c r="F74" s="10" t="s">
        <v>7</v>
      </c>
      <c r="G74" s="10" t="s">
        <v>44</v>
      </c>
      <c r="H74" s="10" t="s">
        <v>37</v>
      </c>
      <c r="I74" s="13">
        <v>0.42430555555555555</v>
      </c>
      <c r="J74" s="13">
        <v>0.7784722222222222</v>
      </c>
      <c r="K74" s="10">
        <v>30.0</v>
      </c>
      <c r="L74" s="13">
        <v>0.4826388888888889</v>
      </c>
      <c r="M74" s="13">
        <v>0.7291666666666666</v>
      </c>
      <c r="N74" s="10">
        <v>50.0</v>
      </c>
      <c r="O74" s="10">
        <v>1.0</v>
      </c>
      <c r="P74" s="10">
        <v>109.0</v>
      </c>
      <c r="Q74" s="14">
        <f t="shared" si="1"/>
        <v>46045</v>
      </c>
      <c r="R74" s="15">
        <f t="shared" si="2"/>
        <v>8</v>
      </c>
      <c r="S74" s="16">
        <f>IFERROR(__xludf.DUMMYFUNCTION("IFERROR( INDEX( FILTER( Reference!$F:$F, Reference!$A:$A = $E74, Reference!$E:$E = $D74, Reference!$C:$C = $Q74),1),""RATE_NOT_FOUND"")"),26.0)</f>
        <v>26</v>
      </c>
      <c r="T74" s="15">
        <f t="shared" si="3"/>
        <v>208</v>
      </c>
      <c r="U74" s="15">
        <f t="shared" si="4"/>
        <v>5.083333333</v>
      </c>
      <c r="V74" s="17">
        <f t="shared" si="5"/>
        <v>21.44262295</v>
      </c>
      <c r="W74" s="18" t="str">
        <f t="shared" si="6"/>
        <v>Wednesday</v>
      </c>
      <c r="X74" s="18">
        <f t="shared" si="7"/>
        <v>0</v>
      </c>
      <c r="Y74" s="14">
        <f>IFERROR(__xludf.DUMMYFUNCTION("IFERROR( INDEX( FILTER(Reference!$D:$D, Reference!$A:$A=$E74, Reference!$C:$C=$Q74), 1),"""")"),46052.0)</f>
        <v>46052</v>
      </c>
      <c r="Z74" s="18">
        <f t="shared" si="8"/>
        <v>24.43333333</v>
      </c>
      <c r="AA74" s="18">
        <f>IF(Z74=0,0, IF(Z74&gt;=LOOKUP(Q74,MinHr_Weekly_Bonus!A:A,MinHr_Weekly_Bonus!B:B), LOOKUP(Q74,MinHr_Weekly_Bonus!A:A,MinHr_Weekly_Bonus!C:C), 0))</f>
        <v>100</v>
      </c>
      <c r="AB74" s="15">
        <f t="shared" si="9"/>
        <v>208</v>
      </c>
      <c r="AC74" s="18" t="str">
        <f t="shared" si="10"/>
        <v/>
      </c>
    </row>
    <row r="75">
      <c r="A75" s="10" t="s">
        <v>36</v>
      </c>
      <c r="B75" s="12">
        <v>46043.0</v>
      </c>
      <c r="C75" s="10" t="s">
        <v>57</v>
      </c>
      <c r="D75" s="10" t="s">
        <v>8</v>
      </c>
      <c r="E75" s="10" t="s">
        <v>6</v>
      </c>
      <c r="F75" s="10" t="s">
        <v>7</v>
      </c>
      <c r="G75" s="10" t="s">
        <v>44</v>
      </c>
      <c r="H75" s="10" t="s">
        <v>42</v>
      </c>
      <c r="I75" s="13">
        <v>0.4479166666666667</v>
      </c>
      <c r="J75" s="13">
        <v>0.7916666666666666</v>
      </c>
      <c r="K75" s="10">
        <v>30.0</v>
      </c>
      <c r="L75" s="13">
        <v>0.4791666666666667</v>
      </c>
      <c r="M75" s="13">
        <v>0.7291666666666666</v>
      </c>
      <c r="N75" s="10">
        <v>50.0</v>
      </c>
      <c r="O75" s="10">
        <v>1.0</v>
      </c>
      <c r="P75" s="10">
        <v>61.0</v>
      </c>
      <c r="Q75" s="14">
        <f t="shared" si="1"/>
        <v>46045</v>
      </c>
      <c r="R75" s="15">
        <f t="shared" si="2"/>
        <v>7.75</v>
      </c>
      <c r="S75" s="16">
        <f>IFERROR(__xludf.DUMMYFUNCTION("IFERROR( INDEX( FILTER( Reference!$F:$F, Reference!$A:$A = $E75, Reference!$E:$E = $D75, Reference!$C:$C = $Q75),1),""RATE_NOT_FOUND"")"),24.0)</f>
        <v>24</v>
      </c>
      <c r="T75" s="15">
        <f t="shared" si="3"/>
        <v>186</v>
      </c>
      <c r="U75" s="15">
        <f t="shared" si="4"/>
        <v>5.166666667</v>
      </c>
      <c r="V75" s="17">
        <f t="shared" si="5"/>
        <v>11.80645161</v>
      </c>
      <c r="W75" s="18" t="str">
        <f t="shared" si="6"/>
        <v>Wednesday</v>
      </c>
      <c r="X75" s="18">
        <f t="shared" si="7"/>
        <v>0</v>
      </c>
      <c r="Y75" s="14">
        <f>IFERROR(__xludf.DUMMYFUNCTION("IFERROR( INDEX( FILTER(Reference!$D:$D, Reference!$A:$A=$E75, Reference!$C:$C=$Q75), 1),"""")"),46052.0)</f>
        <v>46052</v>
      </c>
      <c r="Z75" s="18">
        <f t="shared" si="8"/>
        <v>15.13333333</v>
      </c>
      <c r="AA75" s="18">
        <f>IF(Z75=0,0, IF(Z75&gt;=LOOKUP(Q75,MinHr_Weekly_Bonus!A:A,MinHr_Weekly_Bonus!B:B), LOOKUP(Q75,MinHr_Weekly_Bonus!A:A,MinHr_Weekly_Bonus!C:C), 0))</f>
        <v>0</v>
      </c>
      <c r="AB75" s="15">
        <f t="shared" si="9"/>
        <v>186</v>
      </c>
      <c r="AC75" s="18" t="str">
        <f t="shared" si="10"/>
        <v/>
      </c>
    </row>
    <row r="76">
      <c r="A76" s="10" t="s">
        <v>36</v>
      </c>
      <c r="B76" s="12">
        <v>46043.0</v>
      </c>
      <c r="C76" s="10" t="s">
        <v>48</v>
      </c>
      <c r="D76" s="10" t="s">
        <v>8</v>
      </c>
      <c r="E76" s="10" t="s">
        <v>6</v>
      </c>
      <c r="F76" s="10" t="s">
        <v>7</v>
      </c>
      <c r="G76" s="10" t="s">
        <v>44</v>
      </c>
      <c r="H76" s="10" t="s">
        <v>42</v>
      </c>
      <c r="I76" s="13">
        <v>0.4444444444444444</v>
      </c>
      <c r="J76" s="13">
        <v>0.7631944444444444</v>
      </c>
      <c r="K76" s="10">
        <v>30.0</v>
      </c>
      <c r="L76" s="13">
        <v>0.4791666666666667</v>
      </c>
      <c r="M76" s="13">
        <v>0.7291666666666666</v>
      </c>
      <c r="N76" s="10">
        <v>50.0</v>
      </c>
      <c r="O76" s="10">
        <v>1.0</v>
      </c>
      <c r="P76" s="10">
        <v>67.0</v>
      </c>
      <c r="Q76" s="14">
        <f t="shared" si="1"/>
        <v>46045</v>
      </c>
      <c r="R76" s="15">
        <f t="shared" si="2"/>
        <v>7.15</v>
      </c>
      <c r="S76" s="16">
        <f>IFERROR(__xludf.DUMMYFUNCTION("IFERROR( INDEX( FILTER( Reference!$F:$F, Reference!$A:$A = $E76, Reference!$E:$E = $D76, Reference!$C:$C = $Q76),1),""RATE_NOT_FOUND"")"),24.0)</f>
        <v>24</v>
      </c>
      <c r="T76" s="15">
        <f t="shared" si="3"/>
        <v>171.6</v>
      </c>
      <c r="U76" s="15">
        <f t="shared" si="4"/>
        <v>5.166666667</v>
      </c>
      <c r="V76" s="17">
        <f t="shared" si="5"/>
        <v>12.96774194</v>
      </c>
      <c r="W76" s="18" t="str">
        <f t="shared" si="6"/>
        <v>Wednesday</v>
      </c>
      <c r="X76" s="18">
        <f t="shared" si="7"/>
        <v>0</v>
      </c>
      <c r="Y76" s="14">
        <f>IFERROR(__xludf.DUMMYFUNCTION("IFERROR( INDEX( FILTER(Reference!$D:$D, Reference!$A:$A=$E76, Reference!$C:$C=$Q76), 1),"""")"),46052.0)</f>
        <v>46052</v>
      </c>
      <c r="Z76" s="18">
        <f t="shared" si="8"/>
        <v>19.75</v>
      </c>
      <c r="AA76" s="18">
        <f>IF(Z76=0,0, IF(Z76&gt;=LOOKUP(Q76,MinHr_Weekly_Bonus!A:A,MinHr_Weekly_Bonus!B:B), LOOKUP(Q76,MinHr_Weekly_Bonus!A:A,MinHr_Weekly_Bonus!C:C), 0))</f>
        <v>0</v>
      </c>
      <c r="AB76" s="15">
        <f t="shared" si="9"/>
        <v>171.6</v>
      </c>
      <c r="AC76" s="18" t="str">
        <f t="shared" si="10"/>
        <v/>
      </c>
    </row>
    <row r="77">
      <c r="A77" s="10" t="s">
        <v>36</v>
      </c>
      <c r="B77" s="12">
        <v>46043.0</v>
      </c>
      <c r="C77" s="10" t="s">
        <v>43</v>
      </c>
      <c r="D77" s="10" t="s">
        <v>8</v>
      </c>
      <c r="E77" s="10" t="s">
        <v>6</v>
      </c>
      <c r="F77" s="10" t="s">
        <v>7</v>
      </c>
      <c r="G77" s="10" t="s">
        <v>44</v>
      </c>
      <c r="H77" s="10" t="s">
        <v>42</v>
      </c>
      <c r="I77" s="13">
        <v>0.4479166666666667</v>
      </c>
      <c r="J77" s="13">
        <v>0.7659722222222223</v>
      </c>
      <c r="K77" s="10">
        <v>30.0</v>
      </c>
      <c r="L77" s="13">
        <v>0.4791666666666667</v>
      </c>
      <c r="M77" s="13">
        <v>0.7291666666666666</v>
      </c>
      <c r="N77" s="10">
        <v>60.0</v>
      </c>
      <c r="O77" s="10">
        <v>1.0</v>
      </c>
      <c r="P77" s="10">
        <v>71.0</v>
      </c>
      <c r="Q77" s="14">
        <f t="shared" si="1"/>
        <v>46045</v>
      </c>
      <c r="R77" s="15">
        <f t="shared" si="2"/>
        <v>7.133333333</v>
      </c>
      <c r="S77" s="16">
        <f>IFERROR(__xludf.DUMMYFUNCTION("IFERROR( INDEX( FILTER( Reference!$F:$F, Reference!$A:$A = $E77, Reference!$E:$E = $D77, Reference!$C:$C = $Q77),1),""RATE_NOT_FOUND"")"),24.0)</f>
        <v>24</v>
      </c>
      <c r="T77" s="15">
        <f t="shared" si="3"/>
        <v>171.2</v>
      </c>
      <c r="U77" s="15">
        <f t="shared" si="4"/>
        <v>5</v>
      </c>
      <c r="V77" s="17">
        <f t="shared" si="5"/>
        <v>14.2</v>
      </c>
      <c r="W77" s="18" t="str">
        <f t="shared" si="6"/>
        <v>Wednesday</v>
      </c>
      <c r="X77" s="18">
        <f t="shared" si="7"/>
        <v>0</v>
      </c>
      <c r="Y77" s="14">
        <f>IFERROR(__xludf.DUMMYFUNCTION("IFERROR( INDEX( FILTER(Reference!$D:$D, Reference!$A:$A=$E77, Reference!$C:$C=$Q77), 1),"""")"),46052.0)</f>
        <v>46052</v>
      </c>
      <c r="Z77" s="18">
        <f t="shared" si="8"/>
        <v>19.16666667</v>
      </c>
      <c r="AA77" s="18">
        <f>IF(Z77=0,0, IF(Z77&gt;=LOOKUP(Q77,MinHr_Weekly_Bonus!A:A,MinHr_Weekly_Bonus!B:B), LOOKUP(Q77,MinHr_Weekly_Bonus!A:A,MinHr_Weekly_Bonus!C:C), 0))</f>
        <v>0</v>
      </c>
      <c r="AB77" s="15">
        <f t="shared" si="9"/>
        <v>171.2</v>
      </c>
      <c r="AC77" s="18" t="str">
        <f t="shared" si="10"/>
        <v/>
      </c>
    </row>
    <row r="78">
      <c r="A78" s="10" t="s">
        <v>36</v>
      </c>
      <c r="B78" s="12">
        <v>46043.0</v>
      </c>
      <c r="C78" s="10" t="s">
        <v>47</v>
      </c>
      <c r="D78" s="10" t="s">
        <v>8</v>
      </c>
      <c r="E78" s="10" t="s">
        <v>6</v>
      </c>
      <c r="F78" s="10" t="s">
        <v>7</v>
      </c>
      <c r="G78" s="10" t="s">
        <v>44</v>
      </c>
      <c r="H78" s="10" t="s">
        <v>42</v>
      </c>
      <c r="I78" s="13">
        <v>0.4444444444444444</v>
      </c>
      <c r="J78" s="13">
        <v>0.7854166666666667</v>
      </c>
      <c r="K78" s="10">
        <v>30.0</v>
      </c>
      <c r="L78" s="13">
        <v>0.4895833333333333</v>
      </c>
      <c r="M78" s="13">
        <v>0.7291666666666666</v>
      </c>
      <c r="N78" s="10">
        <v>60.0</v>
      </c>
      <c r="O78" s="10">
        <v>1.0</v>
      </c>
      <c r="P78" s="10">
        <v>78.0</v>
      </c>
      <c r="Q78" s="14">
        <f t="shared" si="1"/>
        <v>46045</v>
      </c>
      <c r="R78" s="15">
        <f t="shared" si="2"/>
        <v>7.683333333</v>
      </c>
      <c r="S78" s="16">
        <f>IFERROR(__xludf.DUMMYFUNCTION("IFERROR( INDEX( FILTER( Reference!$F:$F, Reference!$A:$A = $E78, Reference!$E:$E = $D78, Reference!$C:$C = $Q78),1),""RATE_NOT_FOUND"")"),24.0)</f>
        <v>24</v>
      </c>
      <c r="T78" s="15">
        <f t="shared" si="3"/>
        <v>184.4</v>
      </c>
      <c r="U78" s="15">
        <f t="shared" si="4"/>
        <v>4.75</v>
      </c>
      <c r="V78" s="17">
        <f t="shared" si="5"/>
        <v>16.42105263</v>
      </c>
      <c r="W78" s="18" t="str">
        <f t="shared" si="6"/>
        <v>Wednesday</v>
      </c>
      <c r="X78" s="18">
        <f t="shared" si="7"/>
        <v>0</v>
      </c>
      <c r="Y78" s="14">
        <f>IFERROR(__xludf.DUMMYFUNCTION("IFERROR( INDEX( FILTER(Reference!$D:$D, Reference!$A:$A=$E78, Reference!$C:$C=$Q78), 1),"""")"),46052.0)</f>
        <v>46052</v>
      </c>
      <c r="Z78" s="18">
        <f t="shared" si="8"/>
        <v>24.11666667</v>
      </c>
      <c r="AA78" s="18">
        <f>IF(Z78=0,0, IF(Z78&gt;=LOOKUP(Q78,MinHr_Weekly_Bonus!A:A,MinHr_Weekly_Bonus!B:B), LOOKUP(Q78,MinHr_Weekly_Bonus!A:A,MinHr_Weekly_Bonus!C:C), 0))</f>
        <v>100</v>
      </c>
      <c r="AB78" s="15">
        <f t="shared" si="9"/>
        <v>184.4</v>
      </c>
      <c r="AC78" s="18" t="str">
        <f t="shared" si="10"/>
        <v/>
      </c>
    </row>
    <row r="79">
      <c r="A79" s="10" t="s">
        <v>36</v>
      </c>
      <c r="B79" s="12">
        <v>46043.0</v>
      </c>
      <c r="C79" s="10" t="s">
        <v>64</v>
      </c>
      <c r="D79" s="10" t="s">
        <v>8</v>
      </c>
      <c r="E79" s="10" t="s">
        <v>6</v>
      </c>
      <c r="F79" s="10" t="s">
        <v>7</v>
      </c>
      <c r="G79" s="10" t="s">
        <v>44</v>
      </c>
      <c r="H79" s="10" t="s">
        <v>42</v>
      </c>
      <c r="I79" s="13">
        <v>0.4479166666666667</v>
      </c>
      <c r="J79" s="13">
        <v>0.7916666666666666</v>
      </c>
      <c r="K79" s="10">
        <v>30.0</v>
      </c>
      <c r="L79" s="13">
        <v>0.4930555555555556</v>
      </c>
      <c r="M79" s="13">
        <v>0.7291666666666666</v>
      </c>
      <c r="N79" s="10">
        <v>75.0</v>
      </c>
      <c r="O79" s="10">
        <v>1.0</v>
      </c>
      <c r="P79" s="10">
        <v>92.0</v>
      </c>
      <c r="Q79" s="14">
        <f t="shared" si="1"/>
        <v>46045</v>
      </c>
      <c r="R79" s="15">
        <f t="shared" si="2"/>
        <v>7.75</v>
      </c>
      <c r="S79" s="16">
        <f>IFERROR(__xludf.DUMMYFUNCTION("IFERROR( INDEX( FILTER( Reference!$F:$F, Reference!$A:$A = $E79, Reference!$E:$E = $D79, Reference!$C:$C = $Q79),1),""RATE_NOT_FOUND"")"),24.0)</f>
        <v>24</v>
      </c>
      <c r="T79" s="15">
        <f t="shared" si="3"/>
        <v>186</v>
      </c>
      <c r="U79" s="15">
        <f t="shared" si="4"/>
        <v>4.416666667</v>
      </c>
      <c r="V79" s="17">
        <f t="shared" si="5"/>
        <v>20.83018868</v>
      </c>
      <c r="W79" s="18" t="str">
        <f t="shared" si="6"/>
        <v>Wednesday</v>
      </c>
      <c r="X79" s="18">
        <f t="shared" si="7"/>
        <v>0</v>
      </c>
      <c r="Y79" s="14">
        <f>IFERROR(__xludf.DUMMYFUNCTION("IFERROR( INDEX( FILTER(Reference!$D:$D, Reference!$A:$A=$E79, Reference!$C:$C=$Q79), 1),"""")"),46052.0)</f>
        <v>46052</v>
      </c>
      <c r="Z79" s="18">
        <f t="shared" si="8"/>
        <v>9.166666667</v>
      </c>
      <c r="AA79" s="18">
        <f>IF(Z79=0,0, IF(Z79&gt;=LOOKUP(Q79,MinHr_Weekly_Bonus!A:A,MinHr_Weekly_Bonus!B:B), LOOKUP(Q79,MinHr_Weekly_Bonus!A:A,MinHr_Weekly_Bonus!C:C), 0))</f>
        <v>0</v>
      </c>
      <c r="AB79" s="15">
        <f t="shared" si="9"/>
        <v>186</v>
      </c>
      <c r="AC79" s="18" t="str">
        <f t="shared" si="10"/>
        <v/>
      </c>
    </row>
    <row r="80">
      <c r="A80" s="10" t="s">
        <v>36</v>
      </c>
      <c r="B80" s="12">
        <v>46043.0</v>
      </c>
      <c r="C80" s="10" t="s">
        <v>42</v>
      </c>
      <c r="D80" s="10" t="s">
        <v>9</v>
      </c>
      <c r="E80" s="10" t="s">
        <v>6</v>
      </c>
      <c r="F80" s="10" t="s">
        <v>7</v>
      </c>
      <c r="G80" s="10" t="s">
        <v>44</v>
      </c>
      <c r="H80" s="10" t="s">
        <v>42</v>
      </c>
      <c r="I80" s="13">
        <v>0.425</v>
      </c>
      <c r="J80" s="13">
        <v>0.7868055555555555</v>
      </c>
      <c r="K80" s="10">
        <v>30.0</v>
      </c>
      <c r="L80" s="13">
        <v>0.4895833333333333</v>
      </c>
      <c r="M80" s="13">
        <v>0.7291666666666666</v>
      </c>
      <c r="N80" s="10">
        <v>50.0</v>
      </c>
      <c r="O80" s="10">
        <v>1.0</v>
      </c>
      <c r="P80" s="10">
        <v>101.0</v>
      </c>
      <c r="Q80" s="14">
        <f t="shared" si="1"/>
        <v>46045</v>
      </c>
      <c r="R80" s="15">
        <f t="shared" si="2"/>
        <v>8.183333333</v>
      </c>
      <c r="S80" s="16">
        <f>IFERROR(__xludf.DUMMYFUNCTION("IFERROR( INDEX( FILTER( Reference!$F:$F, Reference!$A:$A = $E80, Reference!$E:$E = $D80, Reference!$C:$C = $Q80),1),""RATE_NOT_FOUND"")"),26.0)</f>
        <v>26</v>
      </c>
      <c r="T80" s="15">
        <f t="shared" si="3"/>
        <v>212.7666667</v>
      </c>
      <c r="U80" s="15">
        <f t="shared" si="4"/>
        <v>4.916666667</v>
      </c>
      <c r="V80" s="17">
        <f t="shared" si="5"/>
        <v>20.54237288</v>
      </c>
      <c r="W80" s="18" t="str">
        <f t="shared" si="6"/>
        <v>Wednesday</v>
      </c>
      <c r="X80" s="18">
        <f t="shared" si="7"/>
        <v>0</v>
      </c>
      <c r="Y80" s="14">
        <f>IFERROR(__xludf.DUMMYFUNCTION("IFERROR( INDEX( FILTER(Reference!$D:$D, Reference!$A:$A=$E80, Reference!$C:$C=$Q80), 1),"""")"),46052.0)</f>
        <v>46052</v>
      </c>
      <c r="Z80" s="18">
        <f t="shared" si="8"/>
        <v>23.83333333</v>
      </c>
      <c r="AA80" s="18">
        <f>IF(Z80=0,0, IF(Z80&gt;=LOOKUP(Q80,MinHr_Weekly_Bonus!A:A,MinHr_Weekly_Bonus!B:B), LOOKUP(Q80,MinHr_Weekly_Bonus!A:A,MinHr_Weekly_Bonus!C:C), 0))</f>
        <v>100</v>
      </c>
      <c r="AB80" s="15">
        <f t="shared" si="9"/>
        <v>212.7666667</v>
      </c>
      <c r="AC80" s="18" t="str">
        <f t="shared" si="10"/>
        <v/>
      </c>
    </row>
    <row r="81">
      <c r="A81" s="10" t="s">
        <v>36</v>
      </c>
      <c r="B81" s="12">
        <v>46043.0</v>
      </c>
      <c r="C81" s="10" t="s">
        <v>52</v>
      </c>
      <c r="D81" s="10" t="s">
        <v>8</v>
      </c>
      <c r="E81" s="10" t="s">
        <v>11</v>
      </c>
      <c r="F81" s="10" t="s">
        <v>7</v>
      </c>
      <c r="G81" s="10" t="s">
        <v>44</v>
      </c>
      <c r="H81" s="10" t="s">
        <v>41</v>
      </c>
      <c r="I81" s="13">
        <v>0.4527777777777778</v>
      </c>
      <c r="J81" s="13">
        <v>0.7888888888888889</v>
      </c>
      <c r="K81" s="10">
        <v>30.0</v>
      </c>
      <c r="L81" s="13">
        <v>0.4861111111111111</v>
      </c>
      <c r="M81" s="13">
        <v>0.7291666666666666</v>
      </c>
      <c r="N81" s="10">
        <v>50.0</v>
      </c>
      <c r="O81" s="10">
        <v>1.0</v>
      </c>
      <c r="P81" s="10">
        <v>51.0</v>
      </c>
      <c r="Q81" s="14">
        <f t="shared" si="1"/>
        <v>46045</v>
      </c>
      <c r="R81" s="15">
        <f t="shared" si="2"/>
        <v>7.566666667</v>
      </c>
      <c r="S81" s="16">
        <f>IFERROR(__xludf.DUMMYFUNCTION("IFERROR( INDEX( FILTER( Reference!$F:$F, Reference!$A:$A = $E81, Reference!$E:$E = $D81, Reference!$C:$C = $Q81),1),""RATE_NOT_FOUND"")"),24.0)</f>
        <v>24</v>
      </c>
      <c r="T81" s="15">
        <f t="shared" si="3"/>
        <v>181.6</v>
      </c>
      <c r="U81" s="15">
        <f t="shared" si="4"/>
        <v>5</v>
      </c>
      <c r="V81" s="17">
        <f t="shared" si="5"/>
        <v>10.2</v>
      </c>
      <c r="W81" s="18" t="str">
        <f t="shared" si="6"/>
        <v>Wednesday</v>
      </c>
      <c r="X81" s="18">
        <f t="shared" si="7"/>
        <v>0</v>
      </c>
      <c r="Y81" s="14">
        <f>IFERROR(__xludf.DUMMYFUNCTION("IFERROR( INDEX( FILTER(Reference!$D:$D, Reference!$A:$A=$E81, Reference!$C:$C=$Q81), 1),"""")"),46052.0)</f>
        <v>46052</v>
      </c>
      <c r="Z81" s="18">
        <f t="shared" si="8"/>
        <v>25.35</v>
      </c>
      <c r="AA81" s="18">
        <f>IF(Z81=0,0, IF(Z81&gt;=LOOKUP(Q81,MinHr_Weekly_Bonus!A:A,MinHr_Weekly_Bonus!B:B), LOOKUP(Q81,MinHr_Weekly_Bonus!A:A,MinHr_Weekly_Bonus!C:C), 0))</f>
        <v>100</v>
      </c>
      <c r="AB81" s="15">
        <f t="shared" si="9"/>
        <v>181.6</v>
      </c>
      <c r="AC81" s="18" t="str">
        <f t="shared" si="10"/>
        <v/>
      </c>
    </row>
    <row r="82">
      <c r="A82" s="10" t="s">
        <v>36</v>
      </c>
      <c r="B82" s="12">
        <v>46043.0</v>
      </c>
      <c r="C82" s="10" t="s">
        <v>49</v>
      </c>
      <c r="D82" s="10" t="s">
        <v>8</v>
      </c>
      <c r="E82" s="10" t="s">
        <v>11</v>
      </c>
      <c r="F82" s="10" t="s">
        <v>7</v>
      </c>
      <c r="G82" s="10" t="s">
        <v>44</v>
      </c>
      <c r="H82" s="10" t="s">
        <v>41</v>
      </c>
      <c r="I82" s="13">
        <v>0.4479166666666667</v>
      </c>
      <c r="J82" s="13">
        <v>0.7916666666666666</v>
      </c>
      <c r="K82" s="10">
        <v>30.0</v>
      </c>
      <c r="L82" s="13">
        <v>0.4861111111111111</v>
      </c>
      <c r="M82" s="13">
        <v>0.7291666666666666</v>
      </c>
      <c r="N82" s="10">
        <v>50.0</v>
      </c>
      <c r="O82" s="10">
        <v>1.0</v>
      </c>
      <c r="P82" s="10">
        <v>109.0</v>
      </c>
      <c r="Q82" s="14">
        <f t="shared" si="1"/>
        <v>46045</v>
      </c>
      <c r="R82" s="15">
        <f t="shared" si="2"/>
        <v>7.75</v>
      </c>
      <c r="S82" s="16">
        <f>IFERROR(__xludf.DUMMYFUNCTION("IFERROR( INDEX( FILTER( Reference!$F:$F, Reference!$A:$A = $E82, Reference!$E:$E = $D82, Reference!$C:$C = $Q82),1),""RATE_NOT_FOUND"")"),24.0)</f>
        <v>24</v>
      </c>
      <c r="T82" s="15">
        <f t="shared" si="3"/>
        <v>186</v>
      </c>
      <c r="U82" s="15">
        <f t="shared" si="4"/>
        <v>5</v>
      </c>
      <c r="V82" s="17">
        <f t="shared" si="5"/>
        <v>21.8</v>
      </c>
      <c r="W82" s="18" t="str">
        <f t="shared" si="6"/>
        <v>Wednesday</v>
      </c>
      <c r="X82" s="18">
        <f t="shared" si="7"/>
        <v>0</v>
      </c>
      <c r="Y82" s="14">
        <f>IFERROR(__xludf.DUMMYFUNCTION("IFERROR( INDEX( FILTER(Reference!$D:$D, Reference!$A:$A=$E82, Reference!$C:$C=$Q82), 1),"""")"),46052.0)</f>
        <v>46052</v>
      </c>
      <c r="Z82" s="18">
        <f t="shared" si="8"/>
        <v>24.91666667</v>
      </c>
      <c r="AA82" s="18">
        <f>IF(Z82=0,0, IF(Z82&gt;=LOOKUP(Q82,MinHr_Weekly_Bonus!A:A,MinHr_Weekly_Bonus!B:B), LOOKUP(Q82,MinHr_Weekly_Bonus!A:A,MinHr_Weekly_Bonus!C:C), 0))</f>
        <v>100</v>
      </c>
      <c r="AB82" s="15">
        <f t="shared" si="9"/>
        <v>186</v>
      </c>
      <c r="AC82" s="18" t="str">
        <f t="shared" si="10"/>
        <v/>
      </c>
    </row>
    <row r="83">
      <c r="A83" s="10" t="s">
        <v>36</v>
      </c>
      <c r="B83" s="12">
        <v>46043.0</v>
      </c>
      <c r="C83" s="10" t="s">
        <v>65</v>
      </c>
      <c r="D83" s="10" t="s">
        <v>8</v>
      </c>
      <c r="E83" s="10" t="s">
        <v>11</v>
      </c>
      <c r="F83" s="10" t="s">
        <v>7</v>
      </c>
      <c r="G83" s="10" t="s">
        <v>44</v>
      </c>
      <c r="H83" s="10" t="s">
        <v>41</v>
      </c>
      <c r="I83" s="13">
        <v>0.4486111111111111</v>
      </c>
      <c r="J83" s="13">
        <v>0.7951388888888888</v>
      </c>
      <c r="K83" s="10">
        <v>30.0</v>
      </c>
      <c r="L83" s="13">
        <v>0.5</v>
      </c>
      <c r="M83" s="13">
        <v>0.7291666666666666</v>
      </c>
      <c r="N83" s="10">
        <v>50.0</v>
      </c>
      <c r="O83" s="10">
        <v>1.0</v>
      </c>
      <c r="P83" s="10">
        <v>107.0</v>
      </c>
      <c r="Q83" s="14">
        <f t="shared" si="1"/>
        <v>46045</v>
      </c>
      <c r="R83" s="15">
        <f t="shared" si="2"/>
        <v>7.816666667</v>
      </c>
      <c r="S83" s="16">
        <f>IFERROR(__xludf.DUMMYFUNCTION("IFERROR( INDEX( FILTER( Reference!$F:$F, Reference!$A:$A = $E83, Reference!$E:$E = $D83, Reference!$C:$C = $Q83),1),""RATE_NOT_FOUND"")"),24.0)</f>
        <v>24</v>
      </c>
      <c r="T83" s="15">
        <f t="shared" si="3"/>
        <v>187.6</v>
      </c>
      <c r="U83" s="15">
        <f t="shared" si="4"/>
        <v>4.666666667</v>
      </c>
      <c r="V83" s="17">
        <f t="shared" si="5"/>
        <v>22.92857143</v>
      </c>
      <c r="W83" s="18" t="str">
        <f t="shared" si="6"/>
        <v>Wednesday</v>
      </c>
      <c r="X83" s="18">
        <f t="shared" si="7"/>
        <v>0</v>
      </c>
      <c r="Y83" s="14">
        <f>IFERROR(__xludf.DUMMYFUNCTION("IFERROR( INDEX( FILTER(Reference!$D:$D, Reference!$A:$A=$E83, Reference!$C:$C=$Q83), 1),"""")"),46052.0)</f>
        <v>46052</v>
      </c>
      <c r="Z83" s="18">
        <f t="shared" si="8"/>
        <v>14.58333333</v>
      </c>
      <c r="AA83" s="18">
        <f>IF(Z83=0,0, IF(Z83&gt;=LOOKUP(Q83,MinHr_Weekly_Bonus!A:A,MinHr_Weekly_Bonus!B:B), LOOKUP(Q83,MinHr_Weekly_Bonus!A:A,MinHr_Weekly_Bonus!C:C), 0))</f>
        <v>0</v>
      </c>
      <c r="AB83" s="15">
        <f t="shared" si="9"/>
        <v>187.6</v>
      </c>
      <c r="AC83" s="18" t="str">
        <f t="shared" si="10"/>
        <v/>
      </c>
    </row>
    <row r="84">
      <c r="A84" s="10" t="s">
        <v>36</v>
      </c>
      <c r="B84" s="12">
        <v>46043.0</v>
      </c>
      <c r="C84" s="10" t="s">
        <v>41</v>
      </c>
      <c r="D84" s="10" t="s">
        <v>9</v>
      </c>
      <c r="E84" s="10" t="s">
        <v>11</v>
      </c>
      <c r="F84" s="10" t="s">
        <v>7</v>
      </c>
      <c r="G84" s="10" t="s">
        <v>44</v>
      </c>
      <c r="H84" s="10" t="s">
        <v>41</v>
      </c>
      <c r="I84" s="13">
        <v>0.425</v>
      </c>
      <c r="J84" s="13">
        <v>0.7881944444444444</v>
      </c>
      <c r="K84" s="10">
        <v>30.0</v>
      </c>
      <c r="L84" s="13">
        <v>0.4861111111111111</v>
      </c>
      <c r="M84" s="13">
        <v>0.7291666666666666</v>
      </c>
      <c r="N84" s="10">
        <v>50.0</v>
      </c>
      <c r="O84" s="10">
        <v>1.0</v>
      </c>
      <c r="P84" s="10">
        <v>100.0</v>
      </c>
      <c r="Q84" s="14">
        <f t="shared" si="1"/>
        <v>46045</v>
      </c>
      <c r="R84" s="15">
        <f t="shared" si="2"/>
        <v>8.216666667</v>
      </c>
      <c r="S84" s="16">
        <f>IFERROR(__xludf.DUMMYFUNCTION("IFERROR( INDEX( FILTER( Reference!$F:$F, Reference!$A:$A = $E84, Reference!$E:$E = $D84, Reference!$C:$C = $Q84),1),""RATE_NOT_FOUND"")"),26.0)</f>
        <v>26</v>
      </c>
      <c r="T84" s="15">
        <f t="shared" si="3"/>
        <v>213.6333333</v>
      </c>
      <c r="U84" s="15">
        <f t="shared" si="4"/>
        <v>5</v>
      </c>
      <c r="V84" s="17">
        <f t="shared" si="5"/>
        <v>20</v>
      </c>
      <c r="W84" s="18" t="str">
        <f t="shared" si="6"/>
        <v>Wednesday</v>
      </c>
      <c r="X84" s="18">
        <f t="shared" si="7"/>
        <v>0</v>
      </c>
      <c r="Y84" s="14">
        <f>IFERROR(__xludf.DUMMYFUNCTION("IFERROR( INDEX( FILTER(Reference!$D:$D, Reference!$A:$A=$E84, Reference!$C:$C=$Q84), 1),"""")"),46052.0)</f>
        <v>46052</v>
      </c>
      <c r="Z84" s="18">
        <f t="shared" si="8"/>
        <v>9.6</v>
      </c>
      <c r="AA84" s="18">
        <f>IF(Z84=0,0, IF(Z84&gt;=LOOKUP(Q84,MinHr_Weekly_Bonus!A:A,MinHr_Weekly_Bonus!B:B), LOOKUP(Q84,MinHr_Weekly_Bonus!A:A,MinHr_Weekly_Bonus!C:C), 0))</f>
        <v>0</v>
      </c>
      <c r="AB84" s="15">
        <f t="shared" si="9"/>
        <v>213.6333333</v>
      </c>
      <c r="AC84" s="18" t="str">
        <f t="shared" si="10"/>
        <v/>
      </c>
    </row>
    <row r="85">
      <c r="A85" s="10" t="s">
        <v>36</v>
      </c>
      <c r="B85" s="12">
        <v>46043.0</v>
      </c>
      <c r="C85" s="10" t="s">
        <v>56</v>
      </c>
      <c r="D85" s="10" t="s">
        <v>8</v>
      </c>
      <c r="E85" s="10" t="s">
        <v>11</v>
      </c>
      <c r="F85" s="10" t="s">
        <v>7</v>
      </c>
      <c r="G85" s="10" t="s">
        <v>44</v>
      </c>
      <c r="H85" s="10" t="s">
        <v>51</v>
      </c>
      <c r="I85" s="13">
        <v>0.4479166666666667</v>
      </c>
      <c r="J85" s="13">
        <v>0.7916666666666666</v>
      </c>
      <c r="K85" s="10">
        <v>30.0</v>
      </c>
      <c r="L85" s="13">
        <v>0.5</v>
      </c>
      <c r="M85" s="13">
        <v>0.7291666666666666</v>
      </c>
      <c r="N85" s="10">
        <v>50.0</v>
      </c>
      <c r="O85" s="10">
        <v>1.0</v>
      </c>
      <c r="P85" s="10">
        <v>51.0</v>
      </c>
      <c r="Q85" s="14">
        <f t="shared" si="1"/>
        <v>46045</v>
      </c>
      <c r="R85" s="15">
        <f t="shared" si="2"/>
        <v>7.75</v>
      </c>
      <c r="S85" s="16">
        <f>IFERROR(__xludf.DUMMYFUNCTION("IFERROR( INDEX( FILTER( Reference!$F:$F, Reference!$A:$A = $E85, Reference!$E:$E = $D85, Reference!$C:$C = $Q85),1),""RATE_NOT_FOUND"")"),24.0)</f>
        <v>24</v>
      </c>
      <c r="T85" s="15">
        <f t="shared" si="3"/>
        <v>186</v>
      </c>
      <c r="U85" s="15">
        <f t="shared" si="4"/>
        <v>4.666666667</v>
      </c>
      <c r="V85" s="17">
        <f t="shared" si="5"/>
        <v>10.92857143</v>
      </c>
      <c r="W85" s="18" t="str">
        <f t="shared" si="6"/>
        <v>Wednesday</v>
      </c>
      <c r="X85" s="18">
        <f t="shared" si="7"/>
        <v>0</v>
      </c>
      <c r="Y85" s="14">
        <f>IFERROR(__xludf.DUMMYFUNCTION("IFERROR( INDEX( FILTER(Reference!$D:$D, Reference!$A:$A=$E85, Reference!$C:$C=$Q85), 1),"""")"),46052.0)</f>
        <v>46052</v>
      </c>
      <c r="Z85" s="18">
        <f t="shared" si="8"/>
        <v>14.21666667</v>
      </c>
      <c r="AA85" s="18">
        <f>IF(Z85=0,0, IF(Z85&gt;=LOOKUP(Q85,MinHr_Weekly_Bonus!A:A,MinHr_Weekly_Bonus!B:B), LOOKUP(Q85,MinHr_Weekly_Bonus!A:A,MinHr_Weekly_Bonus!C:C), 0))</f>
        <v>0</v>
      </c>
      <c r="AB85" s="15">
        <f t="shared" si="9"/>
        <v>186</v>
      </c>
      <c r="AC85" s="18" t="str">
        <f t="shared" si="10"/>
        <v/>
      </c>
    </row>
    <row r="86">
      <c r="A86" s="10" t="s">
        <v>36</v>
      </c>
      <c r="B86" s="12">
        <v>46043.0</v>
      </c>
      <c r="C86" s="10" t="s">
        <v>51</v>
      </c>
      <c r="D86" s="10" t="s">
        <v>9</v>
      </c>
      <c r="E86" s="10" t="s">
        <v>11</v>
      </c>
      <c r="F86" s="10" t="s">
        <v>7</v>
      </c>
      <c r="G86" s="10" t="s">
        <v>44</v>
      </c>
      <c r="H86" s="10" t="s">
        <v>51</v>
      </c>
      <c r="I86" s="13">
        <v>0.4444444444444444</v>
      </c>
      <c r="J86" s="13">
        <v>0.7923611111111111</v>
      </c>
      <c r="K86" s="10">
        <v>30.0</v>
      </c>
      <c r="L86" s="13">
        <v>0.5</v>
      </c>
      <c r="M86" s="13">
        <v>0.7291666666666666</v>
      </c>
      <c r="N86" s="10">
        <v>60.0</v>
      </c>
      <c r="O86" s="10">
        <v>1.0</v>
      </c>
      <c r="P86" s="10">
        <v>85.0</v>
      </c>
      <c r="Q86" s="14">
        <f t="shared" si="1"/>
        <v>46045</v>
      </c>
      <c r="R86" s="15">
        <f t="shared" si="2"/>
        <v>7.85</v>
      </c>
      <c r="S86" s="16">
        <f>IFERROR(__xludf.DUMMYFUNCTION("IFERROR( INDEX( FILTER( Reference!$F:$F, Reference!$A:$A = $E86, Reference!$E:$E = $D86, Reference!$C:$C = $Q86),1),""RATE_NOT_FOUND"")"),26.0)</f>
        <v>26</v>
      </c>
      <c r="T86" s="15">
        <f t="shared" si="3"/>
        <v>204.1</v>
      </c>
      <c r="U86" s="15">
        <f t="shared" si="4"/>
        <v>4.5</v>
      </c>
      <c r="V86" s="17">
        <f t="shared" si="5"/>
        <v>18.88888889</v>
      </c>
      <c r="W86" s="18" t="str">
        <f t="shared" si="6"/>
        <v>Wednesday</v>
      </c>
      <c r="X86" s="18">
        <f t="shared" si="7"/>
        <v>0</v>
      </c>
      <c r="Y86" s="14">
        <f>IFERROR(__xludf.DUMMYFUNCTION("IFERROR( INDEX( FILTER(Reference!$D:$D, Reference!$A:$A=$E86, Reference!$C:$C=$Q86), 1),"""")"),46052.0)</f>
        <v>46052</v>
      </c>
      <c r="Z86" s="18">
        <f t="shared" si="8"/>
        <v>19.36666667</v>
      </c>
      <c r="AA86" s="18">
        <f>IF(Z86=0,0, IF(Z86&gt;=LOOKUP(Q86,MinHr_Weekly_Bonus!A:A,MinHr_Weekly_Bonus!B:B), LOOKUP(Q86,MinHr_Weekly_Bonus!A:A,MinHr_Weekly_Bonus!C:C), 0))</f>
        <v>0</v>
      </c>
      <c r="AB86" s="15">
        <f t="shared" si="9"/>
        <v>204.1</v>
      </c>
      <c r="AC86" s="18" t="str">
        <f t="shared" si="10"/>
        <v/>
      </c>
    </row>
    <row r="87">
      <c r="A87" s="10" t="s">
        <v>36</v>
      </c>
      <c r="B87" s="12">
        <v>46043.0</v>
      </c>
      <c r="C87" s="10" t="s">
        <v>46</v>
      </c>
      <c r="D87" s="10" t="s">
        <v>9</v>
      </c>
      <c r="E87" s="10" t="s">
        <v>6</v>
      </c>
      <c r="F87" s="10" t="s">
        <v>7</v>
      </c>
      <c r="G87" s="10" t="s">
        <v>44</v>
      </c>
      <c r="H87" s="10" t="s">
        <v>46</v>
      </c>
      <c r="I87" s="13">
        <v>0.44722222222222224</v>
      </c>
      <c r="J87" s="13">
        <v>0.7784722222222222</v>
      </c>
      <c r="K87" s="10">
        <v>30.0</v>
      </c>
      <c r="L87" s="13">
        <v>0.4895833333333333</v>
      </c>
      <c r="M87" s="13">
        <v>0.7291666666666666</v>
      </c>
      <c r="N87" s="10">
        <v>50.0</v>
      </c>
      <c r="O87" s="10">
        <v>1.0</v>
      </c>
      <c r="P87" s="10">
        <v>89.0</v>
      </c>
      <c r="Q87" s="14">
        <f t="shared" si="1"/>
        <v>46045</v>
      </c>
      <c r="R87" s="15">
        <f t="shared" si="2"/>
        <v>7.45</v>
      </c>
      <c r="S87" s="16">
        <f>IFERROR(__xludf.DUMMYFUNCTION("IFERROR( INDEX( FILTER( Reference!$F:$F, Reference!$A:$A = $E87, Reference!$E:$E = $D87, Reference!$C:$C = $Q87),1),""RATE_NOT_FOUND"")"),26.0)</f>
        <v>26</v>
      </c>
      <c r="T87" s="15">
        <f t="shared" si="3"/>
        <v>193.7</v>
      </c>
      <c r="U87" s="15">
        <f t="shared" si="4"/>
        <v>4.916666667</v>
      </c>
      <c r="V87" s="17">
        <f t="shared" si="5"/>
        <v>18.10169492</v>
      </c>
      <c r="W87" s="18" t="str">
        <f t="shared" si="6"/>
        <v>Wednesday</v>
      </c>
      <c r="X87" s="18">
        <f t="shared" si="7"/>
        <v>0</v>
      </c>
      <c r="Y87" s="14">
        <f>IFERROR(__xludf.DUMMYFUNCTION("IFERROR( INDEX( FILTER(Reference!$D:$D, Reference!$A:$A=$E87, Reference!$C:$C=$Q87), 1),"""")"),46052.0)</f>
        <v>46052</v>
      </c>
      <c r="Z87" s="18">
        <f t="shared" si="8"/>
        <v>14.58333333</v>
      </c>
      <c r="AA87" s="18">
        <f>IF(Z87=0,0, IF(Z87&gt;=LOOKUP(Q87,MinHr_Weekly_Bonus!A:A,MinHr_Weekly_Bonus!B:B), LOOKUP(Q87,MinHr_Weekly_Bonus!A:A,MinHr_Weekly_Bonus!C:C), 0))</f>
        <v>0</v>
      </c>
      <c r="AB87" s="15">
        <f t="shared" si="9"/>
        <v>193.7</v>
      </c>
      <c r="AC87" s="18" t="str">
        <f t="shared" si="10"/>
        <v/>
      </c>
    </row>
    <row r="88">
      <c r="A88" s="10" t="s">
        <v>36</v>
      </c>
      <c r="B88" s="12">
        <v>46043.0</v>
      </c>
      <c r="C88" s="10" t="s">
        <v>61</v>
      </c>
      <c r="D88" s="10" t="s">
        <v>10</v>
      </c>
      <c r="E88" s="10" t="s">
        <v>6</v>
      </c>
      <c r="F88" s="10" t="s">
        <v>7</v>
      </c>
      <c r="G88" s="10" t="s">
        <v>44</v>
      </c>
      <c r="I88" s="13">
        <v>0.64375</v>
      </c>
      <c r="J88" s="13">
        <v>0.8375</v>
      </c>
      <c r="K88" s="10">
        <v>0.0</v>
      </c>
      <c r="O88" s="10">
        <v>1.0</v>
      </c>
      <c r="Q88" s="14">
        <f t="shared" si="1"/>
        <v>46045</v>
      </c>
      <c r="R88" s="15">
        <f t="shared" si="2"/>
        <v>4.65</v>
      </c>
      <c r="S88" s="16">
        <f>IFERROR(__xludf.DUMMYFUNCTION("IFERROR( INDEX( FILTER( Reference!$F:$F, Reference!$A:$A = $E88, Reference!$E:$E = $D88, Reference!$C:$C = $Q88),1),""RATE_NOT_FOUND"")"),22.0)</f>
        <v>22</v>
      </c>
      <c r="T88" s="15">
        <f t="shared" si="3"/>
        <v>102.3</v>
      </c>
      <c r="U88" s="15">
        <f t="shared" si="4"/>
        <v>0</v>
      </c>
      <c r="V88" s="17">
        <f t="shared" si="5"/>
        <v>0</v>
      </c>
      <c r="W88" s="18" t="str">
        <f t="shared" si="6"/>
        <v>Wednesday</v>
      </c>
      <c r="X88" s="18">
        <f t="shared" si="7"/>
        <v>0</v>
      </c>
      <c r="Y88" s="14">
        <f>IFERROR(__xludf.DUMMYFUNCTION("IFERROR( INDEX( FILTER(Reference!$D:$D, Reference!$A:$A=$E88, Reference!$C:$C=$Q88), 1),"""")"),46052.0)</f>
        <v>46052</v>
      </c>
      <c r="Z88" s="18">
        <f t="shared" si="8"/>
        <v>0</v>
      </c>
      <c r="AA88" s="18">
        <f>IF(Z88=0,0, IF(Z88&gt;=LOOKUP(Q88,MinHr_Weekly_Bonus!A:A,MinHr_Weekly_Bonus!B:B), LOOKUP(Q88,MinHr_Weekly_Bonus!A:A,MinHr_Weekly_Bonus!C:C), 0))</f>
        <v>0</v>
      </c>
      <c r="AB88" s="15">
        <f t="shared" si="9"/>
        <v>102.3</v>
      </c>
      <c r="AC88" s="18" t="str">
        <f t="shared" si="10"/>
        <v/>
      </c>
    </row>
    <row r="89">
      <c r="A89" s="10" t="s">
        <v>36</v>
      </c>
      <c r="B89" s="12">
        <v>46044.0</v>
      </c>
      <c r="C89" s="10" t="s">
        <v>37</v>
      </c>
      <c r="D89" s="10" t="s">
        <v>9</v>
      </c>
      <c r="E89" s="10" t="s">
        <v>6</v>
      </c>
      <c r="F89" s="10" t="s">
        <v>7</v>
      </c>
      <c r="G89" s="10" t="s">
        <v>44</v>
      </c>
      <c r="H89" s="10" t="s">
        <v>37</v>
      </c>
      <c r="I89" s="13">
        <v>0.4270833333333333</v>
      </c>
      <c r="J89" s="13">
        <v>0.7979166666666667</v>
      </c>
      <c r="K89" s="10">
        <v>30.0</v>
      </c>
      <c r="L89" s="13">
        <v>0.4791666666666667</v>
      </c>
      <c r="M89" s="13">
        <v>0.7291666666666666</v>
      </c>
      <c r="N89" s="10">
        <v>60.0</v>
      </c>
      <c r="O89" s="10">
        <v>1.0</v>
      </c>
      <c r="P89" s="10">
        <v>106.0</v>
      </c>
      <c r="Q89" s="14">
        <f t="shared" si="1"/>
        <v>46045</v>
      </c>
      <c r="R89" s="15">
        <f t="shared" si="2"/>
        <v>8.4</v>
      </c>
      <c r="S89" s="16">
        <f>IFERROR(__xludf.DUMMYFUNCTION("IFERROR( INDEX( FILTER( Reference!$F:$F, Reference!$A:$A = $E89, Reference!$E:$E = $D89, Reference!$C:$C = $Q89),1),""RATE_NOT_FOUND"")"),26.0)</f>
        <v>26</v>
      </c>
      <c r="T89" s="15">
        <f t="shared" si="3"/>
        <v>218.4</v>
      </c>
      <c r="U89" s="15">
        <f t="shared" si="4"/>
        <v>5</v>
      </c>
      <c r="V89" s="17">
        <f t="shared" si="5"/>
        <v>21.2</v>
      </c>
      <c r="W89" s="18" t="str">
        <f t="shared" si="6"/>
        <v>Thursday</v>
      </c>
      <c r="X89" s="18">
        <f t="shared" si="7"/>
        <v>0</v>
      </c>
      <c r="Y89" s="14">
        <f>IFERROR(__xludf.DUMMYFUNCTION("IFERROR( INDEX( FILTER(Reference!$D:$D, Reference!$A:$A=$E89, Reference!$C:$C=$Q89), 1),"""")"),46052.0)</f>
        <v>46052</v>
      </c>
      <c r="Z89" s="18">
        <f t="shared" si="8"/>
        <v>24.43333333</v>
      </c>
      <c r="AA89" s="18">
        <f>IF(Z89=0,0, IF(Z89&gt;=LOOKUP(Q89,MinHr_Weekly_Bonus!A:A,MinHr_Weekly_Bonus!B:B), LOOKUP(Q89,MinHr_Weekly_Bonus!A:A,MinHr_Weekly_Bonus!C:C), 0))</f>
        <v>100</v>
      </c>
      <c r="AB89" s="15">
        <f t="shared" si="9"/>
        <v>218.4</v>
      </c>
      <c r="AC89" s="18" t="str">
        <f t="shared" si="10"/>
        <v/>
      </c>
    </row>
    <row r="90">
      <c r="A90" s="10" t="s">
        <v>36</v>
      </c>
      <c r="B90" s="12">
        <v>46044.0</v>
      </c>
      <c r="C90" s="10" t="s">
        <v>68</v>
      </c>
      <c r="D90" s="10" t="s">
        <v>8</v>
      </c>
      <c r="E90" s="10" t="s">
        <v>6</v>
      </c>
      <c r="F90" s="10" t="s">
        <v>7</v>
      </c>
      <c r="G90" s="10" t="s">
        <v>44</v>
      </c>
      <c r="H90" s="10" t="s">
        <v>37</v>
      </c>
      <c r="I90" s="13">
        <v>0.3958333333333333</v>
      </c>
      <c r="J90" s="13">
        <v>0.7708333333333334</v>
      </c>
      <c r="K90" s="10">
        <v>30.0</v>
      </c>
      <c r="L90" s="13">
        <v>0.4791666666666667</v>
      </c>
      <c r="M90" s="13">
        <v>0.7291666666666666</v>
      </c>
      <c r="N90" s="10">
        <v>50.0</v>
      </c>
      <c r="O90" s="10">
        <v>1.0</v>
      </c>
      <c r="P90" s="10">
        <v>102.0</v>
      </c>
      <c r="Q90" s="14">
        <f t="shared" si="1"/>
        <v>46045</v>
      </c>
      <c r="R90" s="15">
        <f t="shared" si="2"/>
        <v>8.5</v>
      </c>
      <c r="S90" s="16">
        <f>IFERROR(__xludf.DUMMYFUNCTION("IFERROR( INDEX( FILTER( Reference!$F:$F, Reference!$A:$A = $E90, Reference!$E:$E = $D90, Reference!$C:$C = $Q90),1),""RATE_NOT_FOUND"")"),24.0)</f>
        <v>24</v>
      </c>
      <c r="T90" s="15">
        <f t="shared" si="3"/>
        <v>204</v>
      </c>
      <c r="U90" s="15">
        <f t="shared" si="4"/>
        <v>5.166666667</v>
      </c>
      <c r="V90" s="17">
        <f t="shared" si="5"/>
        <v>19.74193548</v>
      </c>
      <c r="W90" s="18" t="str">
        <f t="shared" si="6"/>
        <v>Thursday</v>
      </c>
      <c r="X90" s="18">
        <f t="shared" si="7"/>
        <v>0</v>
      </c>
      <c r="Y90" s="14">
        <f>IFERROR(__xludf.DUMMYFUNCTION("IFERROR( INDEX( FILTER(Reference!$D:$D, Reference!$A:$A=$E90, Reference!$C:$C=$Q90), 1),"""")"),46052.0)</f>
        <v>46052</v>
      </c>
      <c r="Z90" s="18">
        <f t="shared" si="8"/>
        <v>10.33333333</v>
      </c>
      <c r="AA90" s="18">
        <f>IF(Z90=0,0, IF(Z90&gt;=LOOKUP(Q90,MinHr_Weekly_Bonus!A:A,MinHr_Weekly_Bonus!B:B), LOOKUP(Q90,MinHr_Weekly_Bonus!A:A,MinHr_Weekly_Bonus!C:C), 0))</f>
        <v>0</v>
      </c>
      <c r="AB90" s="15">
        <f t="shared" si="9"/>
        <v>204</v>
      </c>
      <c r="AC90" s="18" t="str">
        <f t="shared" si="10"/>
        <v/>
      </c>
    </row>
    <row r="91">
      <c r="A91" s="10" t="s">
        <v>36</v>
      </c>
      <c r="B91" s="12">
        <v>46044.0</v>
      </c>
      <c r="C91" s="10" t="s">
        <v>54</v>
      </c>
      <c r="D91" s="10" t="s">
        <v>8</v>
      </c>
      <c r="E91" s="10" t="s">
        <v>6</v>
      </c>
      <c r="F91" s="10" t="s">
        <v>7</v>
      </c>
      <c r="G91" s="10" t="s">
        <v>44</v>
      </c>
      <c r="H91" s="10" t="s">
        <v>37</v>
      </c>
      <c r="I91" s="13">
        <v>0.4583333333333333</v>
      </c>
      <c r="J91" s="13">
        <v>0.78125</v>
      </c>
      <c r="K91" s="10">
        <v>30.0</v>
      </c>
      <c r="L91" s="13">
        <v>0.4791666666666667</v>
      </c>
      <c r="M91" s="13">
        <v>0.7291666666666666</v>
      </c>
      <c r="N91" s="10">
        <v>60.0</v>
      </c>
      <c r="O91" s="10">
        <v>1.0</v>
      </c>
      <c r="P91" s="10">
        <v>58.0</v>
      </c>
      <c r="Q91" s="14">
        <f t="shared" si="1"/>
        <v>46045</v>
      </c>
      <c r="R91" s="15">
        <f t="shared" si="2"/>
        <v>7.25</v>
      </c>
      <c r="S91" s="16">
        <f>IFERROR(__xludf.DUMMYFUNCTION("IFERROR( INDEX( FILTER( Reference!$F:$F, Reference!$A:$A = $E91, Reference!$E:$E = $D91, Reference!$C:$C = $Q91),1),""RATE_NOT_FOUND"")"),24.0)</f>
        <v>24</v>
      </c>
      <c r="T91" s="15">
        <f t="shared" si="3"/>
        <v>174</v>
      </c>
      <c r="U91" s="15">
        <f t="shared" si="4"/>
        <v>5</v>
      </c>
      <c r="V91" s="17">
        <f t="shared" si="5"/>
        <v>11.6</v>
      </c>
      <c r="W91" s="18" t="str">
        <f t="shared" si="6"/>
        <v>Thursday</v>
      </c>
      <c r="X91" s="18">
        <f t="shared" si="7"/>
        <v>0</v>
      </c>
      <c r="Y91" s="14">
        <f>IFERROR(__xludf.DUMMYFUNCTION("IFERROR( INDEX( FILTER(Reference!$D:$D, Reference!$A:$A=$E91, Reference!$C:$C=$Q91), 1),"""")"),46052.0)</f>
        <v>46052</v>
      </c>
      <c r="Z91" s="18">
        <f t="shared" si="8"/>
        <v>9.583333333</v>
      </c>
      <c r="AA91" s="18">
        <f>IF(Z91=0,0, IF(Z91&gt;=LOOKUP(Q91,MinHr_Weekly_Bonus!A:A,MinHr_Weekly_Bonus!B:B), LOOKUP(Q91,MinHr_Weekly_Bonus!A:A,MinHr_Weekly_Bonus!C:C), 0))</f>
        <v>0</v>
      </c>
      <c r="AB91" s="15">
        <f t="shared" si="9"/>
        <v>174</v>
      </c>
      <c r="AC91" s="18" t="str">
        <f t="shared" si="10"/>
        <v/>
      </c>
    </row>
    <row r="92">
      <c r="A92" s="10" t="s">
        <v>36</v>
      </c>
      <c r="B92" s="12">
        <v>46044.0</v>
      </c>
      <c r="C92" s="10" t="s">
        <v>52</v>
      </c>
      <c r="D92" s="10" t="s">
        <v>8</v>
      </c>
      <c r="E92" s="10" t="s">
        <v>6</v>
      </c>
      <c r="F92" s="10" t="s">
        <v>7</v>
      </c>
      <c r="G92" s="10" t="s">
        <v>44</v>
      </c>
      <c r="H92" s="10" t="s">
        <v>37</v>
      </c>
      <c r="I92" s="13">
        <v>0.4479166666666667</v>
      </c>
      <c r="J92" s="13">
        <v>0.78125</v>
      </c>
      <c r="K92" s="10">
        <v>30.0</v>
      </c>
      <c r="L92" s="13">
        <v>0.4791666666666667</v>
      </c>
      <c r="M92" s="13">
        <v>0.7291666666666666</v>
      </c>
      <c r="N92" s="10">
        <v>50.0</v>
      </c>
      <c r="O92" s="10">
        <v>1.0</v>
      </c>
      <c r="P92" s="10">
        <v>98.0</v>
      </c>
      <c r="Q92" s="14">
        <f t="shared" si="1"/>
        <v>46045</v>
      </c>
      <c r="R92" s="15">
        <f t="shared" si="2"/>
        <v>7.5</v>
      </c>
      <c r="S92" s="16">
        <f>IFERROR(__xludf.DUMMYFUNCTION("IFERROR( INDEX( FILTER( Reference!$F:$F, Reference!$A:$A = $E92, Reference!$E:$E = $D92, Reference!$C:$C = $Q92),1),""RATE_NOT_FOUND"")"),24.0)</f>
        <v>24</v>
      </c>
      <c r="T92" s="15">
        <f t="shared" si="3"/>
        <v>180</v>
      </c>
      <c r="U92" s="15">
        <f t="shared" si="4"/>
        <v>5.166666667</v>
      </c>
      <c r="V92" s="17">
        <f t="shared" si="5"/>
        <v>18.96774194</v>
      </c>
      <c r="W92" s="18" t="str">
        <f t="shared" si="6"/>
        <v>Thursday</v>
      </c>
      <c r="X92" s="18">
        <f t="shared" si="7"/>
        <v>0</v>
      </c>
      <c r="Y92" s="14">
        <f>IFERROR(__xludf.DUMMYFUNCTION("IFERROR( INDEX( FILTER(Reference!$D:$D, Reference!$A:$A=$E92, Reference!$C:$C=$Q92), 1),"""")"),46052.0)</f>
        <v>46052</v>
      </c>
      <c r="Z92" s="18">
        <f t="shared" si="8"/>
        <v>25.35</v>
      </c>
      <c r="AA92" s="18">
        <f>IF(Z92=0,0, IF(Z92&gt;=LOOKUP(Q92,MinHr_Weekly_Bonus!A:A,MinHr_Weekly_Bonus!B:B), LOOKUP(Q92,MinHr_Weekly_Bonus!A:A,MinHr_Weekly_Bonus!C:C), 0))</f>
        <v>100</v>
      </c>
      <c r="AB92" s="15">
        <f t="shared" si="9"/>
        <v>180</v>
      </c>
      <c r="AC92" s="18" t="str">
        <f t="shared" si="10"/>
        <v/>
      </c>
    </row>
    <row r="93">
      <c r="A93" s="10" t="s">
        <v>36</v>
      </c>
      <c r="B93" s="12">
        <v>46044.0</v>
      </c>
      <c r="C93" s="10" t="s">
        <v>63</v>
      </c>
      <c r="D93" s="10" t="s">
        <v>8</v>
      </c>
      <c r="E93" s="10" t="s">
        <v>6</v>
      </c>
      <c r="F93" s="10" t="s">
        <v>7</v>
      </c>
      <c r="G93" s="10" t="s">
        <v>44</v>
      </c>
      <c r="H93" s="10" t="s">
        <v>37</v>
      </c>
      <c r="I93" s="13">
        <v>0.45069444444444445</v>
      </c>
      <c r="J93" s="13">
        <v>0.7777777777777778</v>
      </c>
      <c r="K93" s="10">
        <v>30.0</v>
      </c>
      <c r="L93" s="13">
        <v>0.4861111111111111</v>
      </c>
      <c r="M93" s="13">
        <v>0.7333333333333333</v>
      </c>
      <c r="N93" s="10">
        <v>50.0</v>
      </c>
      <c r="O93" s="10">
        <v>1.0</v>
      </c>
      <c r="P93" s="10">
        <v>55.0</v>
      </c>
      <c r="Q93" s="14">
        <f t="shared" si="1"/>
        <v>46045</v>
      </c>
      <c r="R93" s="15">
        <f t="shared" si="2"/>
        <v>7.35</v>
      </c>
      <c r="S93" s="16">
        <f>IFERROR(__xludf.DUMMYFUNCTION("IFERROR( INDEX( FILTER( Reference!$F:$F, Reference!$A:$A = $E93, Reference!$E:$E = $D93, Reference!$C:$C = $Q93),1),""RATE_NOT_FOUND"")"),24.0)</f>
        <v>24</v>
      </c>
      <c r="T93" s="15">
        <f t="shared" si="3"/>
        <v>176.4</v>
      </c>
      <c r="U93" s="15">
        <f t="shared" si="4"/>
        <v>5.1</v>
      </c>
      <c r="V93" s="17">
        <f t="shared" si="5"/>
        <v>10.78431373</v>
      </c>
      <c r="W93" s="18" t="str">
        <f t="shared" si="6"/>
        <v>Thursday</v>
      </c>
      <c r="X93" s="18">
        <f t="shared" si="7"/>
        <v>0</v>
      </c>
      <c r="Y93" s="14">
        <f>IFERROR(__xludf.DUMMYFUNCTION("IFERROR( INDEX( FILTER(Reference!$D:$D, Reference!$A:$A=$E93, Reference!$C:$C=$Q93), 1),"""")"),46052.0)</f>
        <v>46052</v>
      </c>
      <c r="Z93" s="18">
        <f t="shared" si="8"/>
        <v>10.26666667</v>
      </c>
      <c r="AA93" s="18">
        <f>IF(Z93=0,0, IF(Z93&gt;=LOOKUP(Q93,MinHr_Weekly_Bonus!A:A,MinHr_Weekly_Bonus!B:B), LOOKUP(Q93,MinHr_Weekly_Bonus!A:A,MinHr_Weekly_Bonus!C:C), 0))</f>
        <v>0</v>
      </c>
      <c r="AB93" s="15">
        <f t="shared" si="9"/>
        <v>176.4</v>
      </c>
      <c r="AC93" s="18" t="str">
        <f t="shared" si="10"/>
        <v/>
      </c>
    </row>
    <row r="94">
      <c r="A94" s="10" t="s">
        <v>36</v>
      </c>
      <c r="B94" s="12">
        <v>46044.0</v>
      </c>
      <c r="C94" s="10" t="s">
        <v>69</v>
      </c>
      <c r="D94" s="10" t="s">
        <v>8</v>
      </c>
      <c r="E94" s="10" t="s">
        <v>6</v>
      </c>
      <c r="F94" s="10" t="s">
        <v>7</v>
      </c>
      <c r="G94" s="10" t="s">
        <v>44</v>
      </c>
      <c r="H94" s="10" t="s">
        <v>37</v>
      </c>
      <c r="I94" s="13">
        <v>0.3958333333333333</v>
      </c>
      <c r="J94" s="13">
        <v>0.7708333333333334</v>
      </c>
      <c r="K94" s="10">
        <v>30.0</v>
      </c>
      <c r="L94" s="13">
        <v>0.4895833333333333</v>
      </c>
      <c r="M94" s="13">
        <v>0.7291666666666666</v>
      </c>
      <c r="N94" s="10">
        <v>40.0</v>
      </c>
      <c r="O94" s="10">
        <v>1.0</v>
      </c>
      <c r="P94" s="10">
        <v>61.0</v>
      </c>
      <c r="Q94" s="14">
        <f t="shared" si="1"/>
        <v>46045</v>
      </c>
      <c r="R94" s="15">
        <f t="shared" si="2"/>
        <v>8.5</v>
      </c>
      <c r="S94" s="16">
        <f>IFERROR(__xludf.DUMMYFUNCTION("IFERROR( INDEX( FILTER( Reference!$F:$F, Reference!$A:$A = $E94, Reference!$E:$E = $D94, Reference!$C:$C = $Q94),1),""RATE_NOT_FOUND"")"),24.0)</f>
        <v>24</v>
      </c>
      <c r="T94" s="15">
        <f t="shared" si="3"/>
        <v>204</v>
      </c>
      <c r="U94" s="15">
        <f t="shared" si="4"/>
        <v>5.083333333</v>
      </c>
      <c r="V94" s="17">
        <f t="shared" si="5"/>
        <v>12</v>
      </c>
      <c r="W94" s="18" t="str">
        <f t="shared" si="6"/>
        <v>Thursday</v>
      </c>
      <c r="X94" s="18">
        <f t="shared" si="7"/>
        <v>0</v>
      </c>
      <c r="Y94" s="14">
        <f>IFERROR(__xludf.DUMMYFUNCTION("IFERROR( INDEX( FILTER(Reference!$D:$D, Reference!$A:$A=$E94, Reference!$C:$C=$Q94), 1),"""")"),46052.0)</f>
        <v>46052</v>
      </c>
      <c r="Z94" s="18">
        <f t="shared" si="8"/>
        <v>5.083333333</v>
      </c>
      <c r="AA94" s="18">
        <f>IF(Z94=0,0, IF(Z94&gt;=LOOKUP(Q94,MinHr_Weekly_Bonus!A:A,MinHr_Weekly_Bonus!B:B), LOOKUP(Q94,MinHr_Weekly_Bonus!A:A,MinHr_Weekly_Bonus!C:C), 0))</f>
        <v>0</v>
      </c>
      <c r="AB94" s="15">
        <f t="shared" si="9"/>
        <v>204</v>
      </c>
      <c r="AC94" s="18" t="str">
        <f t="shared" si="10"/>
        <v/>
      </c>
    </row>
    <row r="95">
      <c r="A95" s="10" t="s">
        <v>36</v>
      </c>
      <c r="B95" s="12">
        <v>46044.0</v>
      </c>
      <c r="C95" s="10" t="s">
        <v>42</v>
      </c>
      <c r="D95" s="10" t="s">
        <v>9</v>
      </c>
      <c r="E95" s="10" t="s">
        <v>6</v>
      </c>
      <c r="F95" s="10" t="s">
        <v>7</v>
      </c>
      <c r="G95" s="10" t="s">
        <v>44</v>
      </c>
      <c r="H95" s="10" t="s">
        <v>42</v>
      </c>
      <c r="I95" s="13">
        <v>0.4270833333333333</v>
      </c>
      <c r="J95" s="13">
        <v>0.8</v>
      </c>
      <c r="K95" s="10">
        <v>30.0</v>
      </c>
      <c r="L95" s="13">
        <v>0.4826388888888889</v>
      </c>
      <c r="M95" s="13">
        <v>0.7291666666666666</v>
      </c>
      <c r="N95" s="10">
        <v>80.0</v>
      </c>
      <c r="O95" s="10">
        <v>1.0</v>
      </c>
      <c r="P95" s="10">
        <v>111.0</v>
      </c>
      <c r="Q95" s="14">
        <f t="shared" si="1"/>
        <v>46045</v>
      </c>
      <c r="R95" s="15">
        <f t="shared" si="2"/>
        <v>8.45</v>
      </c>
      <c r="S95" s="16">
        <f>IFERROR(__xludf.DUMMYFUNCTION("IFERROR( INDEX( FILTER( Reference!$F:$F, Reference!$A:$A = $E95, Reference!$E:$E = $D95, Reference!$C:$C = $Q95),1),""RATE_NOT_FOUND"")"),26.0)</f>
        <v>26</v>
      </c>
      <c r="T95" s="15">
        <f t="shared" si="3"/>
        <v>219.7</v>
      </c>
      <c r="U95" s="15">
        <f t="shared" si="4"/>
        <v>4.583333333</v>
      </c>
      <c r="V95" s="17">
        <f t="shared" si="5"/>
        <v>24.21818182</v>
      </c>
      <c r="W95" s="18" t="str">
        <f t="shared" si="6"/>
        <v>Thursday</v>
      </c>
      <c r="X95" s="18">
        <f t="shared" si="7"/>
        <v>0</v>
      </c>
      <c r="Y95" s="14">
        <f>IFERROR(__xludf.DUMMYFUNCTION("IFERROR( INDEX( FILTER(Reference!$D:$D, Reference!$A:$A=$E95, Reference!$C:$C=$Q95), 1),"""")"),46052.0)</f>
        <v>46052</v>
      </c>
      <c r="Z95" s="18">
        <f t="shared" si="8"/>
        <v>23.83333333</v>
      </c>
      <c r="AA95" s="18">
        <f>IF(Z95=0,0, IF(Z95&gt;=LOOKUP(Q95,MinHr_Weekly_Bonus!A:A,MinHr_Weekly_Bonus!B:B), LOOKUP(Q95,MinHr_Weekly_Bonus!A:A,MinHr_Weekly_Bonus!C:C), 0))</f>
        <v>100</v>
      </c>
      <c r="AB95" s="15">
        <f t="shared" si="9"/>
        <v>219.7</v>
      </c>
      <c r="AC95" s="18" t="str">
        <f t="shared" si="10"/>
        <v/>
      </c>
    </row>
    <row r="96">
      <c r="A96" s="10" t="s">
        <v>36</v>
      </c>
      <c r="B96" s="12">
        <v>46044.0</v>
      </c>
      <c r="C96" s="10" t="s">
        <v>43</v>
      </c>
      <c r="D96" s="10" t="s">
        <v>8</v>
      </c>
      <c r="E96" s="10" t="s">
        <v>6</v>
      </c>
      <c r="F96" s="10" t="s">
        <v>7</v>
      </c>
      <c r="G96" s="10" t="s">
        <v>44</v>
      </c>
      <c r="H96" s="10" t="s">
        <v>42</v>
      </c>
      <c r="I96" s="13">
        <v>0.4479166666666667</v>
      </c>
      <c r="J96" s="13">
        <v>0.7777777777777778</v>
      </c>
      <c r="K96" s="10">
        <v>30.0</v>
      </c>
      <c r="L96" s="13">
        <v>0.4861111111111111</v>
      </c>
      <c r="M96" s="13">
        <v>0.7291666666666666</v>
      </c>
      <c r="N96" s="10">
        <v>80.0</v>
      </c>
      <c r="O96" s="10">
        <v>1.0</v>
      </c>
      <c r="P96" s="10">
        <v>110.0</v>
      </c>
      <c r="Q96" s="14">
        <f t="shared" si="1"/>
        <v>46045</v>
      </c>
      <c r="R96" s="15">
        <f t="shared" si="2"/>
        <v>7.416666667</v>
      </c>
      <c r="S96" s="16">
        <f>IFERROR(__xludf.DUMMYFUNCTION("IFERROR( INDEX( FILTER( Reference!$F:$F, Reference!$A:$A = $E96, Reference!$E:$E = $D96, Reference!$C:$C = $Q96),1),""RATE_NOT_FOUND"")"),24.0)</f>
        <v>24</v>
      </c>
      <c r="T96" s="15">
        <f t="shared" si="3"/>
        <v>178</v>
      </c>
      <c r="U96" s="15">
        <f t="shared" si="4"/>
        <v>4.5</v>
      </c>
      <c r="V96" s="17">
        <f t="shared" si="5"/>
        <v>24.44444444</v>
      </c>
      <c r="W96" s="18" t="str">
        <f t="shared" si="6"/>
        <v>Thursday</v>
      </c>
      <c r="X96" s="18">
        <f t="shared" si="7"/>
        <v>0</v>
      </c>
      <c r="Y96" s="14">
        <f>IFERROR(__xludf.DUMMYFUNCTION("IFERROR( INDEX( FILTER(Reference!$D:$D, Reference!$A:$A=$E96, Reference!$C:$C=$Q96), 1),"""")"),46052.0)</f>
        <v>46052</v>
      </c>
      <c r="Z96" s="18">
        <f t="shared" si="8"/>
        <v>19.16666667</v>
      </c>
      <c r="AA96" s="18">
        <f>IF(Z96=0,0, IF(Z96&gt;=LOOKUP(Q96,MinHr_Weekly_Bonus!A:A,MinHr_Weekly_Bonus!B:B), LOOKUP(Q96,MinHr_Weekly_Bonus!A:A,MinHr_Weekly_Bonus!C:C), 0))</f>
        <v>0</v>
      </c>
      <c r="AB96" s="15">
        <f t="shared" si="9"/>
        <v>178</v>
      </c>
      <c r="AC96" s="18" t="str">
        <f t="shared" si="10"/>
        <v/>
      </c>
    </row>
    <row r="97">
      <c r="A97" s="10" t="s">
        <v>36</v>
      </c>
      <c r="B97" s="12">
        <v>46044.0</v>
      </c>
      <c r="C97" s="10" t="s">
        <v>49</v>
      </c>
      <c r="D97" s="10" t="s">
        <v>8</v>
      </c>
      <c r="E97" s="10" t="s">
        <v>6</v>
      </c>
      <c r="F97" s="10" t="s">
        <v>7</v>
      </c>
      <c r="G97" s="10" t="s">
        <v>44</v>
      </c>
      <c r="H97" s="10" t="s">
        <v>42</v>
      </c>
      <c r="I97" s="13">
        <v>0.4486111111111111</v>
      </c>
      <c r="J97" s="13">
        <v>0.7979166666666667</v>
      </c>
      <c r="K97" s="10">
        <v>30.0</v>
      </c>
      <c r="L97" s="13">
        <v>0.46875</v>
      </c>
      <c r="M97" s="13">
        <v>0.7291666666666666</v>
      </c>
      <c r="N97" s="10">
        <v>50.0</v>
      </c>
      <c r="O97" s="10">
        <v>1.0</v>
      </c>
      <c r="P97" s="10">
        <v>119.0</v>
      </c>
      <c r="Q97" s="14">
        <f t="shared" si="1"/>
        <v>46045</v>
      </c>
      <c r="R97" s="15">
        <f t="shared" si="2"/>
        <v>7.883333333</v>
      </c>
      <c r="S97" s="16">
        <f>IFERROR(__xludf.DUMMYFUNCTION("IFERROR( INDEX( FILTER( Reference!$F:$F, Reference!$A:$A = $E97, Reference!$E:$E = $D97, Reference!$C:$C = $Q97),1),""RATE_NOT_FOUND"")"),24.0)</f>
        <v>24</v>
      </c>
      <c r="T97" s="15">
        <f t="shared" si="3"/>
        <v>189.2</v>
      </c>
      <c r="U97" s="15">
        <f t="shared" si="4"/>
        <v>5.416666667</v>
      </c>
      <c r="V97" s="17">
        <f t="shared" si="5"/>
        <v>21.96923077</v>
      </c>
      <c r="W97" s="18" t="str">
        <f t="shared" si="6"/>
        <v>Thursday</v>
      </c>
      <c r="X97" s="18">
        <f t="shared" si="7"/>
        <v>0</v>
      </c>
      <c r="Y97" s="14">
        <f>IFERROR(__xludf.DUMMYFUNCTION("IFERROR( INDEX( FILTER(Reference!$D:$D, Reference!$A:$A=$E97, Reference!$C:$C=$Q97), 1),"""")"),46052.0)</f>
        <v>46052</v>
      </c>
      <c r="Z97" s="18">
        <f t="shared" si="8"/>
        <v>24.91666667</v>
      </c>
      <c r="AA97" s="18">
        <f>IF(Z97=0,0, IF(Z97&gt;=LOOKUP(Q97,MinHr_Weekly_Bonus!A:A,MinHr_Weekly_Bonus!B:B), LOOKUP(Q97,MinHr_Weekly_Bonus!A:A,MinHr_Weekly_Bonus!C:C), 0))</f>
        <v>100</v>
      </c>
      <c r="AB97" s="15">
        <f t="shared" si="9"/>
        <v>189.2</v>
      </c>
      <c r="AC97" s="18" t="str">
        <f t="shared" si="10"/>
        <v/>
      </c>
    </row>
    <row r="98">
      <c r="A98" s="10" t="s">
        <v>36</v>
      </c>
      <c r="B98" s="12">
        <v>46044.0</v>
      </c>
      <c r="C98" s="10" t="s">
        <v>51</v>
      </c>
      <c r="D98" s="10" t="s">
        <v>9</v>
      </c>
      <c r="E98" s="10" t="s">
        <v>11</v>
      </c>
      <c r="F98" s="10" t="s">
        <v>7</v>
      </c>
      <c r="G98" s="10" t="s">
        <v>44</v>
      </c>
      <c r="H98" s="10" t="s">
        <v>51</v>
      </c>
      <c r="I98" s="13">
        <v>0.4270833333333333</v>
      </c>
      <c r="J98" s="13">
        <v>0.8</v>
      </c>
      <c r="K98" s="10">
        <v>30.0</v>
      </c>
      <c r="L98" s="13">
        <v>0.48125</v>
      </c>
      <c r="M98" s="13">
        <v>0.7291666666666666</v>
      </c>
      <c r="N98" s="10">
        <v>80.0</v>
      </c>
      <c r="O98" s="10">
        <v>1.0</v>
      </c>
      <c r="P98" s="10">
        <v>50.0</v>
      </c>
      <c r="Q98" s="14">
        <f t="shared" si="1"/>
        <v>46045</v>
      </c>
      <c r="R98" s="15">
        <f t="shared" si="2"/>
        <v>8.45</v>
      </c>
      <c r="S98" s="16">
        <f>IFERROR(__xludf.DUMMYFUNCTION("IFERROR( INDEX( FILTER( Reference!$F:$F, Reference!$A:$A = $E98, Reference!$E:$E = $D98, Reference!$C:$C = $Q98),1),""RATE_NOT_FOUND"")"),26.0)</f>
        <v>26</v>
      </c>
      <c r="T98" s="15">
        <f t="shared" si="3"/>
        <v>219.7</v>
      </c>
      <c r="U98" s="15">
        <f t="shared" si="4"/>
        <v>4.616666667</v>
      </c>
      <c r="V98" s="17">
        <f t="shared" si="5"/>
        <v>10.83032491</v>
      </c>
      <c r="W98" s="18" t="str">
        <f t="shared" si="6"/>
        <v>Thursday</v>
      </c>
      <c r="X98" s="18">
        <f t="shared" si="7"/>
        <v>0</v>
      </c>
      <c r="Y98" s="14">
        <f>IFERROR(__xludf.DUMMYFUNCTION("IFERROR( INDEX( FILTER(Reference!$D:$D, Reference!$A:$A=$E98, Reference!$C:$C=$Q98), 1),"""")"),46052.0)</f>
        <v>46052</v>
      </c>
      <c r="Z98" s="18">
        <f t="shared" si="8"/>
        <v>19.36666667</v>
      </c>
      <c r="AA98" s="18">
        <f>IF(Z98=0,0, IF(Z98&gt;=LOOKUP(Q98,MinHr_Weekly_Bonus!A:A,MinHr_Weekly_Bonus!B:B), LOOKUP(Q98,MinHr_Weekly_Bonus!A:A,MinHr_Weekly_Bonus!C:C), 0))</f>
        <v>0</v>
      </c>
      <c r="AB98" s="15">
        <f t="shared" si="9"/>
        <v>219.7</v>
      </c>
      <c r="AC98" s="18" t="str">
        <f t="shared" si="10"/>
        <v/>
      </c>
    </row>
    <row r="99">
      <c r="A99" s="10" t="s">
        <v>36</v>
      </c>
      <c r="B99" s="12">
        <v>46044.0</v>
      </c>
      <c r="C99" s="10" t="s">
        <v>58</v>
      </c>
      <c r="D99" s="10" t="s">
        <v>8</v>
      </c>
      <c r="E99" s="10" t="s">
        <v>11</v>
      </c>
      <c r="F99" s="10" t="s">
        <v>7</v>
      </c>
      <c r="G99" s="10" t="s">
        <v>44</v>
      </c>
      <c r="H99" s="10" t="s">
        <v>51</v>
      </c>
      <c r="I99" s="13">
        <v>0.4444444444444444</v>
      </c>
      <c r="J99" s="13">
        <v>0.7777777777777778</v>
      </c>
      <c r="K99" s="10">
        <v>30.0</v>
      </c>
      <c r="L99" s="13">
        <v>0.48125</v>
      </c>
      <c r="M99" s="13">
        <v>0.7291666666666666</v>
      </c>
      <c r="N99" s="10">
        <v>95.0</v>
      </c>
      <c r="O99" s="10">
        <v>1.0</v>
      </c>
      <c r="P99" s="10">
        <v>98.0</v>
      </c>
      <c r="Q99" s="14">
        <f t="shared" si="1"/>
        <v>46045</v>
      </c>
      <c r="R99" s="15">
        <f t="shared" si="2"/>
        <v>7.5</v>
      </c>
      <c r="S99" s="16">
        <f>IFERROR(__xludf.DUMMYFUNCTION("IFERROR( INDEX( FILTER( Reference!$F:$F, Reference!$A:$A = $E99, Reference!$E:$E = $D99, Reference!$C:$C = $Q99),1),""RATE_NOT_FOUND"")"),24.0)</f>
        <v>24</v>
      </c>
      <c r="T99" s="15">
        <f t="shared" si="3"/>
        <v>180</v>
      </c>
      <c r="U99" s="15">
        <f t="shared" si="4"/>
        <v>4.366666667</v>
      </c>
      <c r="V99" s="17">
        <f t="shared" si="5"/>
        <v>22.44274809</v>
      </c>
      <c r="W99" s="18" t="str">
        <f t="shared" si="6"/>
        <v>Thursday</v>
      </c>
      <c r="X99" s="18">
        <f t="shared" si="7"/>
        <v>0</v>
      </c>
      <c r="Y99" s="14">
        <f>IFERROR(__xludf.DUMMYFUNCTION("IFERROR( INDEX( FILTER(Reference!$D:$D, Reference!$A:$A=$E99, Reference!$C:$C=$Q99), 1),"""")"),46052.0)</f>
        <v>46052</v>
      </c>
      <c r="Z99" s="18">
        <f t="shared" si="8"/>
        <v>24.71666667</v>
      </c>
      <c r="AA99" s="18">
        <f>IF(Z99=0,0, IF(Z99&gt;=LOOKUP(Q99,MinHr_Weekly_Bonus!A:A,MinHr_Weekly_Bonus!B:B), LOOKUP(Q99,MinHr_Weekly_Bonus!A:A,MinHr_Weekly_Bonus!C:C), 0))</f>
        <v>100</v>
      </c>
      <c r="AB99" s="15">
        <f t="shared" si="9"/>
        <v>180</v>
      </c>
      <c r="AC99" s="18" t="str">
        <f t="shared" si="10"/>
        <v/>
      </c>
    </row>
    <row r="100">
      <c r="A100" s="10" t="s">
        <v>36</v>
      </c>
      <c r="B100" s="12">
        <v>46044.0</v>
      </c>
      <c r="C100" s="10" t="s">
        <v>47</v>
      </c>
      <c r="D100" s="10" t="s">
        <v>8</v>
      </c>
      <c r="E100" s="10" t="s">
        <v>11</v>
      </c>
      <c r="F100" s="10" t="s">
        <v>7</v>
      </c>
      <c r="G100" s="10" t="s">
        <v>44</v>
      </c>
      <c r="H100" s="10" t="s">
        <v>51</v>
      </c>
      <c r="I100" s="13">
        <v>0.4444444444444444</v>
      </c>
      <c r="J100" s="13">
        <v>0.7854166666666667</v>
      </c>
      <c r="K100" s="10">
        <v>30.0</v>
      </c>
      <c r="L100" s="13">
        <v>0.48125</v>
      </c>
      <c r="M100" s="13">
        <v>0.7291666666666666</v>
      </c>
      <c r="N100" s="10">
        <v>95.0</v>
      </c>
      <c r="O100" s="10">
        <v>1.0</v>
      </c>
      <c r="P100" s="10">
        <v>65.0</v>
      </c>
      <c r="Q100" s="14">
        <f t="shared" si="1"/>
        <v>46045</v>
      </c>
      <c r="R100" s="15">
        <f t="shared" si="2"/>
        <v>7.683333333</v>
      </c>
      <c r="S100" s="16">
        <f>IFERROR(__xludf.DUMMYFUNCTION("IFERROR( INDEX( FILTER( Reference!$F:$F, Reference!$A:$A = $E100, Reference!$E:$E = $D100, Reference!$C:$C = $Q100),1),""RATE_NOT_FOUND"")"),24.0)</f>
        <v>24</v>
      </c>
      <c r="T100" s="15">
        <f t="shared" si="3"/>
        <v>184.4</v>
      </c>
      <c r="U100" s="15">
        <f t="shared" si="4"/>
        <v>4.366666667</v>
      </c>
      <c r="V100" s="17">
        <f t="shared" si="5"/>
        <v>14.88549618</v>
      </c>
      <c r="W100" s="18" t="str">
        <f t="shared" si="6"/>
        <v>Thursday</v>
      </c>
      <c r="X100" s="18">
        <f t="shared" si="7"/>
        <v>0</v>
      </c>
      <c r="Y100" s="14">
        <f>IFERROR(__xludf.DUMMYFUNCTION("IFERROR( INDEX( FILTER(Reference!$D:$D, Reference!$A:$A=$E100, Reference!$C:$C=$Q100), 1),"""")"),46052.0)</f>
        <v>46052</v>
      </c>
      <c r="Z100" s="18">
        <f t="shared" si="8"/>
        <v>24.11666667</v>
      </c>
      <c r="AA100" s="18">
        <f>IF(Z100=0,0, IF(Z100&gt;=LOOKUP(Q100,MinHr_Weekly_Bonus!A:A,MinHr_Weekly_Bonus!B:B), LOOKUP(Q100,MinHr_Weekly_Bonus!A:A,MinHr_Weekly_Bonus!C:C), 0))</f>
        <v>100</v>
      </c>
      <c r="AB100" s="15">
        <f t="shared" si="9"/>
        <v>184.4</v>
      </c>
      <c r="AC100" s="18" t="str">
        <f t="shared" si="10"/>
        <v/>
      </c>
    </row>
    <row r="101">
      <c r="A101" s="10" t="s">
        <v>36</v>
      </c>
      <c r="B101" s="12">
        <v>46044.0</v>
      </c>
      <c r="C101" s="10" t="s">
        <v>62</v>
      </c>
      <c r="D101" s="10" t="s">
        <v>8</v>
      </c>
      <c r="E101" s="10" t="s">
        <v>11</v>
      </c>
      <c r="F101" s="10" t="s">
        <v>7</v>
      </c>
      <c r="G101" s="10" t="s">
        <v>44</v>
      </c>
      <c r="H101" s="10" t="s">
        <v>51</v>
      </c>
      <c r="I101" s="13">
        <v>0.4479166666666667</v>
      </c>
      <c r="J101" s="13">
        <v>0.7965277777777777</v>
      </c>
      <c r="K101" s="10">
        <v>30.0</v>
      </c>
      <c r="L101" s="13">
        <v>0.4791666666666667</v>
      </c>
      <c r="M101" s="13">
        <v>0.7291666666666666</v>
      </c>
      <c r="N101" s="10">
        <v>50.0</v>
      </c>
      <c r="O101" s="10">
        <v>1.0</v>
      </c>
      <c r="P101" s="10">
        <v>68.0</v>
      </c>
      <c r="Q101" s="14">
        <f t="shared" si="1"/>
        <v>46045</v>
      </c>
      <c r="R101" s="15">
        <f t="shared" si="2"/>
        <v>7.866666667</v>
      </c>
      <c r="S101" s="16">
        <f>IFERROR(__xludf.DUMMYFUNCTION("IFERROR( INDEX( FILTER( Reference!$F:$F, Reference!$A:$A = $E101, Reference!$E:$E = $D101, Reference!$C:$C = $Q101),1),""RATE_NOT_FOUND"")"),24.0)</f>
        <v>24</v>
      </c>
      <c r="T101" s="15">
        <f t="shared" si="3"/>
        <v>188.8</v>
      </c>
      <c r="U101" s="15">
        <f t="shared" si="4"/>
        <v>5.166666667</v>
      </c>
      <c r="V101" s="17">
        <f t="shared" si="5"/>
        <v>13.16129032</v>
      </c>
      <c r="W101" s="18" t="str">
        <f t="shared" si="6"/>
        <v>Thursday</v>
      </c>
      <c r="X101" s="18">
        <f t="shared" si="7"/>
        <v>0</v>
      </c>
      <c r="Y101" s="14">
        <f>IFERROR(__xludf.DUMMYFUNCTION("IFERROR( INDEX( FILTER(Reference!$D:$D, Reference!$A:$A=$E101, Reference!$C:$C=$Q101), 1),"""")"),46052.0)</f>
        <v>46052</v>
      </c>
      <c r="Z101" s="18">
        <f t="shared" si="8"/>
        <v>14</v>
      </c>
      <c r="AA101" s="18">
        <f>IF(Z101=0,0, IF(Z101&gt;=LOOKUP(Q101,MinHr_Weekly_Bonus!A:A,MinHr_Weekly_Bonus!B:B), LOOKUP(Q101,MinHr_Weekly_Bonus!A:A,MinHr_Weekly_Bonus!C:C), 0))</f>
        <v>0</v>
      </c>
      <c r="AB101" s="15">
        <f t="shared" si="9"/>
        <v>188.8</v>
      </c>
      <c r="AC101" s="18" t="str">
        <f t="shared" si="10"/>
        <v/>
      </c>
    </row>
    <row r="102">
      <c r="A102" s="10" t="s">
        <v>36</v>
      </c>
      <c r="B102" s="12">
        <v>46045.0</v>
      </c>
      <c r="C102" s="10" t="s">
        <v>42</v>
      </c>
      <c r="D102" s="10" t="s">
        <v>9</v>
      </c>
      <c r="E102" s="10" t="s">
        <v>6</v>
      </c>
      <c r="F102" s="10" t="s">
        <v>7</v>
      </c>
      <c r="G102" s="10" t="s">
        <v>44</v>
      </c>
      <c r="H102" s="10" t="s">
        <v>42</v>
      </c>
      <c r="I102" s="13">
        <v>0.3923611111111111</v>
      </c>
      <c r="J102" s="13">
        <v>0.7881944444444444</v>
      </c>
      <c r="K102" s="10">
        <v>30.0</v>
      </c>
      <c r="L102" s="13">
        <v>0.46875</v>
      </c>
      <c r="M102" s="13">
        <v>0.7291666666666666</v>
      </c>
      <c r="N102" s="10">
        <v>90.0</v>
      </c>
      <c r="O102" s="10">
        <v>1.0</v>
      </c>
      <c r="P102" s="10">
        <v>53.0</v>
      </c>
      <c r="Q102" s="14">
        <f t="shared" si="1"/>
        <v>46045</v>
      </c>
      <c r="R102" s="15">
        <f t="shared" si="2"/>
        <v>9</v>
      </c>
      <c r="S102" s="16">
        <f>IFERROR(__xludf.DUMMYFUNCTION("IFERROR( INDEX( FILTER( Reference!$F:$F, Reference!$A:$A = $E102, Reference!$E:$E = $D102, Reference!$C:$C = $Q102),1),""RATE_NOT_FOUND"")"),26.0)</f>
        <v>26</v>
      </c>
      <c r="T102" s="15">
        <f t="shared" si="3"/>
        <v>234</v>
      </c>
      <c r="U102" s="15">
        <f t="shared" si="4"/>
        <v>4.75</v>
      </c>
      <c r="V102" s="17">
        <f t="shared" si="5"/>
        <v>11.15789474</v>
      </c>
      <c r="W102" s="18" t="str">
        <f t="shared" si="6"/>
        <v>Friday</v>
      </c>
      <c r="X102" s="18">
        <f t="shared" si="7"/>
        <v>0</v>
      </c>
      <c r="Y102" s="14">
        <f>IFERROR(__xludf.DUMMYFUNCTION("IFERROR( INDEX( FILTER(Reference!$D:$D, Reference!$A:$A=$E102, Reference!$C:$C=$Q102), 1),"""")"),46052.0)</f>
        <v>46052</v>
      </c>
      <c r="Z102" s="18">
        <f t="shared" si="8"/>
        <v>23.83333333</v>
      </c>
      <c r="AA102" s="18">
        <f>IF(Z102=0,0, IF(Z102&gt;=LOOKUP(Q102,MinHr_Weekly_Bonus!A:A,MinHr_Weekly_Bonus!B:B), LOOKUP(Q102,MinHr_Weekly_Bonus!A:A,MinHr_Weekly_Bonus!C:C), 0))</f>
        <v>100</v>
      </c>
      <c r="AB102" s="15">
        <f t="shared" si="9"/>
        <v>234</v>
      </c>
      <c r="AC102" s="18" t="str">
        <f t="shared" si="10"/>
        <v/>
      </c>
    </row>
    <row r="103">
      <c r="A103" s="10" t="s">
        <v>36</v>
      </c>
      <c r="B103" s="12">
        <v>46045.0</v>
      </c>
      <c r="C103" s="10" t="s">
        <v>43</v>
      </c>
      <c r="D103" s="10" t="s">
        <v>8</v>
      </c>
      <c r="E103" s="10" t="s">
        <v>6</v>
      </c>
      <c r="F103" s="10" t="s">
        <v>7</v>
      </c>
      <c r="G103" s="10" t="s">
        <v>44</v>
      </c>
      <c r="H103" s="10" t="s">
        <v>42</v>
      </c>
      <c r="I103" s="13">
        <v>0.4444444444444444</v>
      </c>
      <c r="J103" s="13">
        <v>0.7868055555555555</v>
      </c>
      <c r="K103" s="10">
        <v>30.0</v>
      </c>
      <c r="L103" s="13">
        <v>0.46875</v>
      </c>
      <c r="M103" s="13">
        <v>0.7291666666666666</v>
      </c>
      <c r="N103" s="10">
        <v>90.0</v>
      </c>
      <c r="O103" s="10">
        <v>1.0</v>
      </c>
      <c r="P103" s="10">
        <v>98.0</v>
      </c>
      <c r="Q103" s="14">
        <f t="shared" si="1"/>
        <v>46045</v>
      </c>
      <c r="R103" s="15">
        <f t="shared" si="2"/>
        <v>7.716666667</v>
      </c>
      <c r="S103" s="16">
        <f>IFERROR(__xludf.DUMMYFUNCTION("IFERROR( INDEX( FILTER( Reference!$F:$F, Reference!$A:$A = $E103, Reference!$E:$E = $D103, Reference!$C:$C = $Q103),1),""RATE_NOT_FOUND"")"),24.0)</f>
        <v>24</v>
      </c>
      <c r="T103" s="15">
        <f t="shared" si="3"/>
        <v>185.2</v>
      </c>
      <c r="U103" s="15">
        <f t="shared" si="4"/>
        <v>4.75</v>
      </c>
      <c r="V103" s="17">
        <f t="shared" si="5"/>
        <v>20.63157895</v>
      </c>
      <c r="W103" s="18" t="str">
        <f t="shared" si="6"/>
        <v>Friday</v>
      </c>
      <c r="X103" s="18">
        <f t="shared" si="7"/>
        <v>50</v>
      </c>
      <c r="Y103" s="14">
        <f>IFERROR(__xludf.DUMMYFUNCTION("IFERROR( INDEX( FILTER(Reference!$D:$D, Reference!$A:$A=$E103, Reference!$C:$C=$Q103), 1),"""")"),46052.0)</f>
        <v>46052</v>
      </c>
      <c r="Z103" s="18">
        <f t="shared" si="8"/>
        <v>19.16666667</v>
      </c>
      <c r="AA103" s="18">
        <f>IF(Z103=0,0, IF(Z103&gt;=LOOKUP(Q103,MinHr_Weekly_Bonus!A:A,MinHr_Weekly_Bonus!B:B), LOOKUP(Q103,MinHr_Weekly_Bonus!A:A,MinHr_Weekly_Bonus!C:C), 0))</f>
        <v>0</v>
      </c>
      <c r="AB103" s="15">
        <f t="shared" si="9"/>
        <v>235.2</v>
      </c>
      <c r="AC103" s="18" t="str">
        <f t="shared" si="10"/>
        <v/>
      </c>
    </row>
    <row r="104">
      <c r="A104" s="10" t="s">
        <v>36</v>
      </c>
      <c r="B104" s="12">
        <v>46045.0</v>
      </c>
      <c r="C104" s="10" t="s">
        <v>58</v>
      </c>
      <c r="D104" s="10" t="s">
        <v>8</v>
      </c>
      <c r="E104" s="10" t="s">
        <v>6</v>
      </c>
      <c r="F104" s="10" t="s">
        <v>7</v>
      </c>
      <c r="G104" s="10" t="s">
        <v>44</v>
      </c>
      <c r="H104" s="10" t="s">
        <v>42</v>
      </c>
      <c r="I104" s="13">
        <v>0.4479166666666667</v>
      </c>
      <c r="J104" s="13">
        <v>0.7777777777777778</v>
      </c>
      <c r="K104" s="10">
        <v>30.0</v>
      </c>
      <c r="L104" s="13">
        <v>0.4791666666666667</v>
      </c>
      <c r="M104" s="13">
        <v>0.7291666666666666</v>
      </c>
      <c r="N104" s="10">
        <v>50.0</v>
      </c>
      <c r="O104" s="10">
        <v>1.0</v>
      </c>
      <c r="P104" s="10">
        <v>118.0</v>
      </c>
      <c r="Q104" s="14">
        <f t="shared" si="1"/>
        <v>46045</v>
      </c>
      <c r="R104" s="15">
        <f t="shared" si="2"/>
        <v>7.416666667</v>
      </c>
      <c r="S104" s="16">
        <f>IFERROR(__xludf.DUMMYFUNCTION("IFERROR( INDEX( FILTER( Reference!$F:$F, Reference!$A:$A = $E104, Reference!$E:$E = $D104, Reference!$C:$C = $Q104),1),""RATE_NOT_FOUND"")"),24.0)</f>
        <v>24</v>
      </c>
      <c r="T104" s="15">
        <f t="shared" si="3"/>
        <v>178</v>
      </c>
      <c r="U104" s="15">
        <f t="shared" si="4"/>
        <v>5.166666667</v>
      </c>
      <c r="V104" s="17">
        <f t="shared" si="5"/>
        <v>22.83870968</v>
      </c>
      <c r="W104" s="18" t="str">
        <f t="shared" si="6"/>
        <v>Friday</v>
      </c>
      <c r="X104" s="18">
        <f t="shared" si="7"/>
        <v>50</v>
      </c>
      <c r="Y104" s="14">
        <f>IFERROR(__xludf.DUMMYFUNCTION("IFERROR( INDEX( FILTER(Reference!$D:$D, Reference!$A:$A=$E104, Reference!$C:$C=$Q104), 1),"""")"),46052.0)</f>
        <v>46052</v>
      </c>
      <c r="Z104" s="18">
        <f t="shared" si="8"/>
        <v>24.71666667</v>
      </c>
      <c r="AA104" s="18">
        <f>IF(Z104=0,0, IF(Z104&gt;=LOOKUP(Q104,MinHr_Weekly_Bonus!A:A,MinHr_Weekly_Bonus!B:B), LOOKUP(Q104,MinHr_Weekly_Bonus!A:A,MinHr_Weekly_Bonus!C:C), 0))</f>
        <v>100</v>
      </c>
      <c r="AB104" s="15">
        <f t="shared" si="9"/>
        <v>228</v>
      </c>
      <c r="AC104" s="18" t="str">
        <f t="shared" si="10"/>
        <v/>
      </c>
    </row>
    <row r="105">
      <c r="A105" s="10" t="s">
        <v>36</v>
      </c>
      <c r="B105" s="12">
        <v>46045.0</v>
      </c>
      <c r="C105" s="10" t="s">
        <v>51</v>
      </c>
      <c r="D105" s="10" t="s">
        <v>9</v>
      </c>
      <c r="E105" s="10" t="s">
        <v>6</v>
      </c>
      <c r="F105" s="10" t="s">
        <v>7</v>
      </c>
      <c r="G105" s="10" t="s">
        <v>44</v>
      </c>
      <c r="H105" s="10" t="s">
        <v>51</v>
      </c>
      <c r="I105" s="13">
        <v>0.3923611111111111</v>
      </c>
      <c r="J105" s="13">
        <v>0.7875</v>
      </c>
      <c r="K105" s="10">
        <v>30.0</v>
      </c>
      <c r="L105" s="13">
        <v>0.4791666666666667</v>
      </c>
      <c r="M105" s="13">
        <v>0.7291666666666666</v>
      </c>
      <c r="N105" s="10">
        <v>50.0</v>
      </c>
      <c r="O105" s="10">
        <v>1.0</v>
      </c>
      <c r="P105" s="10">
        <v>61.0</v>
      </c>
      <c r="Q105" s="14">
        <f t="shared" si="1"/>
        <v>46045</v>
      </c>
      <c r="R105" s="15">
        <f t="shared" si="2"/>
        <v>8.983333333</v>
      </c>
      <c r="S105" s="16">
        <f>IFERROR(__xludf.DUMMYFUNCTION("IFERROR( INDEX( FILTER( Reference!$F:$F, Reference!$A:$A = $E105, Reference!$E:$E = $D105, Reference!$C:$C = $Q105),1),""RATE_NOT_FOUND"")"),26.0)</f>
        <v>26</v>
      </c>
      <c r="T105" s="15">
        <f t="shared" si="3"/>
        <v>233.5666667</v>
      </c>
      <c r="U105" s="15">
        <f t="shared" si="4"/>
        <v>5.166666667</v>
      </c>
      <c r="V105" s="17">
        <f t="shared" si="5"/>
        <v>11.80645161</v>
      </c>
      <c r="W105" s="18" t="str">
        <f t="shared" si="6"/>
        <v>Friday</v>
      </c>
      <c r="X105" s="18">
        <f t="shared" si="7"/>
        <v>0</v>
      </c>
      <c r="Y105" s="14">
        <f>IFERROR(__xludf.DUMMYFUNCTION("IFERROR( INDEX( FILTER(Reference!$D:$D, Reference!$A:$A=$E105, Reference!$C:$C=$Q105), 1),"""")"),46052.0)</f>
        <v>46052</v>
      </c>
      <c r="Z105" s="18">
        <f t="shared" si="8"/>
        <v>19.36666667</v>
      </c>
      <c r="AA105" s="18">
        <f>IF(Z105=0,0, IF(Z105&gt;=LOOKUP(Q105,MinHr_Weekly_Bonus!A:A,MinHr_Weekly_Bonus!B:B), LOOKUP(Q105,MinHr_Weekly_Bonus!A:A,MinHr_Weekly_Bonus!C:C), 0))</f>
        <v>0</v>
      </c>
      <c r="AB105" s="15">
        <f t="shared" si="9"/>
        <v>233.5666667</v>
      </c>
      <c r="AC105" s="18" t="str">
        <f t="shared" si="10"/>
        <v/>
      </c>
    </row>
    <row r="106">
      <c r="A106" s="10" t="s">
        <v>36</v>
      </c>
      <c r="B106" s="12">
        <v>46045.0</v>
      </c>
      <c r="C106" s="10" t="s">
        <v>65</v>
      </c>
      <c r="D106" s="10" t="s">
        <v>8</v>
      </c>
      <c r="E106" s="10" t="s">
        <v>6</v>
      </c>
      <c r="F106" s="10" t="s">
        <v>7</v>
      </c>
      <c r="G106" s="10" t="s">
        <v>44</v>
      </c>
      <c r="H106" s="10" t="s">
        <v>51</v>
      </c>
      <c r="I106" s="13">
        <v>0.4486111111111111</v>
      </c>
      <c r="J106" s="13">
        <v>0.7777777777777778</v>
      </c>
      <c r="K106" s="10">
        <v>30.0</v>
      </c>
      <c r="L106" s="13">
        <v>0.4791666666666667</v>
      </c>
      <c r="M106" s="13">
        <v>0.7291666666666666</v>
      </c>
      <c r="N106" s="10">
        <v>50.0</v>
      </c>
      <c r="O106" s="10">
        <v>1.0</v>
      </c>
      <c r="P106" s="10">
        <v>105.0</v>
      </c>
      <c r="Q106" s="14">
        <f t="shared" si="1"/>
        <v>46045</v>
      </c>
      <c r="R106" s="15">
        <f t="shared" si="2"/>
        <v>7.4</v>
      </c>
      <c r="S106" s="16">
        <f>IFERROR(__xludf.DUMMYFUNCTION("IFERROR( INDEX( FILTER( Reference!$F:$F, Reference!$A:$A = $E106, Reference!$E:$E = $D106, Reference!$C:$C = $Q106),1),""RATE_NOT_FOUND"")"),24.0)</f>
        <v>24</v>
      </c>
      <c r="T106" s="15">
        <f t="shared" si="3"/>
        <v>177.6</v>
      </c>
      <c r="U106" s="15">
        <f t="shared" si="4"/>
        <v>5.166666667</v>
      </c>
      <c r="V106" s="17">
        <f t="shared" si="5"/>
        <v>20.32258065</v>
      </c>
      <c r="W106" s="18" t="str">
        <f t="shared" si="6"/>
        <v>Friday</v>
      </c>
      <c r="X106" s="18">
        <f t="shared" si="7"/>
        <v>50</v>
      </c>
      <c r="Y106" s="14">
        <f>IFERROR(__xludf.DUMMYFUNCTION("IFERROR( INDEX( FILTER(Reference!$D:$D, Reference!$A:$A=$E106, Reference!$C:$C=$Q106), 1),"""")"),46052.0)</f>
        <v>46052</v>
      </c>
      <c r="Z106" s="18">
        <f t="shared" si="8"/>
        <v>14.58333333</v>
      </c>
      <c r="AA106" s="18">
        <f>IF(Z106=0,0, IF(Z106&gt;=LOOKUP(Q106,MinHr_Weekly_Bonus!A:A,MinHr_Weekly_Bonus!B:B), LOOKUP(Q106,MinHr_Weekly_Bonus!A:A,MinHr_Weekly_Bonus!C:C), 0))</f>
        <v>0</v>
      </c>
      <c r="AB106" s="15">
        <f t="shared" si="9"/>
        <v>227.6</v>
      </c>
      <c r="AC106" s="18" t="str">
        <f t="shared" si="10"/>
        <v/>
      </c>
    </row>
    <row r="107">
      <c r="A107" s="10" t="s">
        <v>36</v>
      </c>
      <c r="B107" s="12">
        <v>46045.0</v>
      </c>
      <c r="C107" s="10" t="s">
        <v>49</v>
      </c>
      <c r="D107" s="10" t="s">
        <v>8</v>
      </c>
      <c r="E107" s="10" t="s">
        <v>11</v>
      </c>
      <c r="F107" s="10" t="s">
        <v>7</v>
      </c>
      <c r="G107" s="10" t="s">
        <v>44</v>
      </c>
      <c r="H107" s="10" t="s">
        <v>47</v>
      </c>
      <c r="I107" s="13">
        <v>0.4513888888888889</v>
      </c>
      <c r="J107" s="13">
        <v>0.76875</v>
      </c>
      <c r="K107" s="10">
        <v>30.0</v>
      </c>
      <c r="L107" s="13">
        <v>0.4826388888888889</v>
      </c>
      <c r="M107" s="13">
        <v>0.7291666666666666</v>
      </c>
      <c r="N107" s="10">
        <v>60.0</v>
      </c>
      <c r="O107" s="10">
        <v>1.0</v>
      </c>
      <c r="P107" s="10">
        <v>58.0</v>
      </c>
      <c r="Q107" s="14">
        <f t="shared" si="1"/>
        <v>46045</v>
      </c>
      <c r="R107" s="15">
        <f t="shared" si="2"/>
        <v>7.116666667</v>
      </c>
      <c r="S107" s="16">
        <f>IFERROR(__xludf.DUMMYFUNCTION("IFERROR( INDEX( FILTER( Reference!$F:$F, Reference!$A:$A = $E107, Reference!$E:$E = $D107, Reference!$C:$C = $Q107),1),""RATE_NOT_FOUND"")"),24.0)</f>
        <v>24</v>
      </c>
      <c r="T107" s="15">
        <f t="shared" si="3"/>
        <v>170.8</v>
      </c>
      <c r="U107" s="15">
        <f t="shared" si="4"/>
        <v>4.916666667</v>
      </c>
      <c r="V107" s="17">
        <f t="shared" si="5"/>
        <v>11.79661017</v>
      </c>
      <c r="W107" s="18" t="str">
        <f t="shared" si="6"/>
        <v>Friday</v>
      </c>
      <c r="X107" s="18">
        <f t="shared" si="7"/>
        <v>0</v>
      </c>
      <c r="Y107" s="14">
        <f>IFERROR(__xludf.DUMMYFUNCTION("IFERROR( INDEX( FILTER(Reference!$D:$D, Reference!$A:$A=$E107, Reference!$C:$C=$Q107), 1),"""")"),46052.0)</f>
        <v>46052</v>
      </c>
      <c r="Z107" s="18">
        <f t="shared" si="8"/>
        <v>24.91666667</v>
      </c>
      <c r="AA107" s="18">
        <f>IF(Z107=0,0, IF(Z107&gt;=LOOKUP(Q107,MinHr_Weekly_Bonus!A:A,MinHr_Weekly_Bonus!B:B), LOOKUP(Q107,MinHr_Weekly_Bonus!A:A,MinHr_Weekly_Bonus!C:C), 0))</f>
        <v>100</v>
      </c>
      <c r="AB107" s="15">
        <f t="shared" si="9"/>
        <v>170.8</v>
      </c>
      <c r="AC107" s="18" t="str">
        <f t="shared" si="10"/>
        <v/>
      </c>
    </row>
    <row r="108">
      <c r="A108" s="10" t="s">
        <v>36</v>
      </c>
      <c r="B108" s="12">
        <v>46045.0</v>
      </c>
      <c r="C108" s="10" t="s">
        <v>48</v>
      </c>
      <c r="D108" s="10" t="s">
        <v>8</v>
      </c>
      <c r="E108" s="10" t="s">
        <v>11</v>
      </c>
      <c r="F108" s="10" t="s">
        <v>7</v>
      </c>
      <c r="G108" s="10" t="s">
        <v>44</v>
      </c>
      <c r="H108" s="10" t="s">
        <v>47</v>
      </c>
      <c r="I108" s="13">
        <v>0.45208333333333334</v>
      </c>
      <c r="J108" s="13">
        <v>0.7777777777777778</v>
      </c>
      <c r="K108" s="10">
        <v>30.0</v>
      </c>
      <c r="L108" s="13">
        <v>0.4826388888888889</v>
      </c>
      <c r="M108" s="13">
        <v>0.7291666666666666</v>
      </c>
      <c r="N108" s="10">
        <v>60.0</v>
      </c>
      <c r="O108" s="10">
        <v>1.0</v>
      </c>
      <c r="P108" s="10">
        <v>72.0</v>
      </c>
      <c r="Q108" s="14">
        <f t="shared" si="1"/>
        <v>46045</v>
      </c>
      <c r="R108" s="15">
        <f t="shared" si="2"/>
        <v>7.316666667</v>
      </c>
      <c r="S108" s="16">
        <f>IFERROR(__xludf.DUMMYFUNCTION("IFERROR( INDEX( FILTER( Reference!$F:$F, Reference!$A:$A = $E108, Reference!$E:$E = $D108, Reference!$C:$C = $Q108),1),""RATE_NOT_FOUND"")"),24.0)</f>
        <v>24</v>
      </c>
      <c r="T108" s="15">
        <f t="shared" si="3"/>
        <v>175.6</v>
      </c>
      <c r="U108" s="15">
        <f t="shared" si="4"/>
        <v>4.916666667</v>
      </c>
      <c r="V108" s="17">
        <f t="shared" si="5"/>
        <v>14.6440678</v>
      </c>
      <c r="W108" s="18" t="str">
        <f t="shared" si="6"/>
        <v>Friday</v>
      </c>
      <c r="X108" s="18">
        <f t="shared" si="7"/>
        <v>0</v>
      </c>
      <c r="Y108" s="14">
        <f>IFERROR(__xludf.DUMMYFUNCTION("IFERROR( INDEX( FILTER(Reference!$D:$D, Reference!$A:$A=$E108, Reference!$C:$C=$Q108), 1),"""")"),46052.0)</f>
        <v>46052</v>
      </c>
      <c r="Z108" s="18">
        <f t="shared" si="8"/>
        <v>19.75</v>
      </c>
      <c r="AA108" s="18">
        <f>IF(Z108=0,0, IF(Z108&gt;=LOOKUP(Q108,MinHr_Weekly_Bonus!A:A,MinHr_Weekly_Bonus!B:B), LOOKUP(Q108,MinHr_Weekly_Bonus!A:A,MinHr_Weekly_Bonus!C:C), 0))</f>
        <v>0</v>
      </c>
      <c r="AB108" s="15">
        <f t="shared" si="9"/>
        <v>175.6</v>
      </c>
      <c r="AC108" s="18" t="str">
        <f t="shared" si="10"/>
        <v/>
      </c>
    </row>
    <row r="109">
      <c r="A109" s="10" t="s">
        <v>36</v>
      </c>
      <c r="B109" s="12">
        <v>46045.0</v>
      </c>
      <c r="C109" s="10" t="s">
        <v>47</v>
      </c>
      <c r="D109" s="10" t="s">
        <v>9</v>
      </c>
      <c r="E109" s="10" t="s">
        <v>11</v>
      </c>
      <c r="F109" s="10" t="s">
        <v>7</v>
      </c>
      <c r="G109" s="10" t="s">
        <v>44</v>
      </c>
      <c r="H109" s="10" t="s">
        <v>47</v>
      </c>
      <c r="I109" s="13">
        <v>0.3923611111111111</v>
      </c>
      <c r="J109" s="13">
        <v>0.7784722222222222</v>
      </c>
      <c r="K109" s="10">
        <v>30.0</v>
      </c>
      <c r="L109" s="13">
        <v>0.4791666666666667</v>
      </c>
      <c r="M109" s="13">
        <v>0.7291666666666666</v>
      </c>
      <c r="N109" s="10">
        <v>60.0</v>
      </c>
      <c r="O109" s="10">
        <v>1.0</v>
      </c>
      <c r="P109" s="10">
        <v>76.0</v>
      </c>
      <c r="Q109" s="14">
        <f t="shared" si="1"/>
        <v>46045</v>
      </c>
      <c r="R109" s="15">
        <f t="shared" si="2"/>
        <v>8.766666667</v>
      </c>
      <c r="S109" s="16">
        <f>IFERROR(__xludf.DUMMYFUNCTION("IFERROR( INDEX( FILTER( Reference!$F:$F, Reference!$A:$A = $E109, Reference!$E:$E = $D109, Reference!$C:$C = $Q109),1),""RATE_NOT_FOUND"")"),26.0)</f>
        <v>26</v>
      </c>
      <c r="T109" s="15">
        <f t="shared" si="3"/>
        <v>227.9333333</v>
      </c>
      <c r="U109" s="15">
        <f t="shared" si="4"/>
        <v>5</v>
      </c>
      <c r="V109" s="17">
        <f t="shared" si="5"/>
        <v>15.2</v>
      </c>
      <c r="W109" s="18" t="str">
        <f t="shared" si="6"/>
        <v>Friday</v>
      </c>
      <c r="X109" s="18">
        <f t="shared" si="7"/>
        <v>0</v>
      </c>
      <c r="Y109" s="14">
        <f>IFERROR(__xludf.DUMMYFUNCTION("IFERROR( INDEX( FILTER(Reference!$D:$D, Reference!$A:$A=$E109, Reference!$C:$C=$Q109), 1),"""")"),46052.0)</f>
        <v>46052</v>
      </c>
      <c r="Z109" s="18">
        <f t="shared" si="8"/>
        <v>24.11666667</v>
      </c>
      <c r="AA109" s="18">
        <f>IF(Z109=0,0, IF(Z109&gt;=LOOKUP(Q109,MinHr_Weekly_Bonus!A:A,MinHr_Weekly_Bonus!B:B), LOOKUP(Q109,MinHr_Weekly_Bonus!A:A,MinHr_Weekly_Bonus!C:C), 0))</f>
        <v>100</v>
      </c>
      <c r="AB109" s="15">
        <f t="shared" si="9"/>
        <v>227.9333333</v>
      </c>
      <c r="AC109" s="18" t="str">
        <f t="shared" si="10"/>
        <v/>
      </c>
    </row>
    <row r="110">
      <c r="A110" s="10" t="s">
        <v>36</v>
      </c>
      <c r="B110" s="12">
        <v>46045.0</v>
      </c>
      <c r="C110" s="10" t="s">
        <v>68</v>
      </c>
      <c r="D110" s="10" t="s">
        <v>8</v>
      </c>
      <c r="E110" s="10" t="s">
        <v>11</v>
      </c>
      <c r="F110" s="10" t="s">
        <v>7</v>
      </c>
      <c r="G110" s="10" t="s">
        <v>44</v>
      </c>
      <c r="H110" s="10" t="s">
        <v>47</v>
      </c>
      <c r="I110" s="13">
        <v>0.4444444444444444</v>
      </c>
      <c r="J110" s="13">
        <v>0.7708333333333334</v>
      </c>
      <c r="K110" s="10">
        <v>30.0</v>
      </c>
      <c r="L110" s="13">
        <v>0.4791666666666667</v>
      </c>
      <c r="M110" s="13">
        <v>0.7291666666666666</v>
      </c>
      <c r="N110" s="10">
        <v>50.0</v>
      </c>
      <c r="O110" s="10">
        <v>1.0</v>
      </c>
      <c r="P110" s="10">
        <v>83.0</v>
      </c>
      <c r="Q110" s="14">
        <f t="shared" si="1"/>
        <v>46045</v>
      </c>
      <c r="R110" s="15">
        <f t="shared" si="2"/>
        <v>7.333333333</v>
      </c>
      <c r="S110" s="16">
        <f>IFERROR(__xludf.DUMMYFUNCTION("IFERROR( INDEX( FILTER( Reference!$F:$F, Reference!$A:$A = $E110, Reference!$E:$E = $D110, Reference!$C:$C = $Q110),1),""RATE_NOT_FOUND"")"),24.0)</f>
        <v>24</v>
      </c>
      <c r="T110" s="15">
        <f t="shared" si="3"/>
        <v>176</v>
      </c>
      <c r="U110" s="15">
        <f t="shared" si="4"/>
        <v>5.166666667</v>
      </c>
      <c r="V110" s="17">
        <f t="shared" si="5"/>
        <v>16.06451613</v>
      </c>
      <c r="W110" s="18" t="str">
        <f t="shared" si="6"/>
        <v>Friday</v>
      </c>
      <c r="X110" s="18">
        <f t="shared" si="7"/>
        <v>0</v>
      </c>
      <c r="Y110" s="14">
        <f>IFERROR(__xludf.DUMMYFUNCTION("IFERROR( INDEX( FILTER(Reference!$D:$D, Reference!$A:$A=$E110, Reference!$C:$C=$Q110), 1),"""")"),46052.0)</f>
        <v>46052</v>
      </c>
      <c r="Z110" s="18">
        <f t="shared" si="8"/>
        <v>10.33333333</v>
      </c>
      <c r="AA110" s="18">
        <f>IF(Z110=0,0, IF(Z110&gt;=LOOKUP(Q110,MinHr_Weekly_Bonus!A:A,MinHr_Weekly_Bonus!B:B), LOOKUP(Q110,MinHr_Weekly_Bonus!A:A,MinHr_Weekly_Bonus!C:C), 0))</f>
        <v>0</v>
      </c>
      <c r="AB110" s="15">
        <f t="shared" si="9"/>
        <v>176</v>
      </c>
      <c r="AC110" s="18" t="str">
        <f t="shared" si="10"/>
        <v/>
      </c>
    </row>
    <row r="111">
      <c r="A111" s="10" t="s">
        <v>36</v>
      </c>
      <c r="B111" s="12">
        <v>46045.0</v>
      </c>
      <c r="C111" s="10" t="s">
        <v>37</v>
      </c>
      <c r="D111" s="10" t="s">
        <v>9</v>
      </c>
      <c r="E111" s="10" t="s">
        <v>11</v>
      </c>
      <c r="F111" s="10" t="s">
        <v>7</v>
      </c>
      <c r="G111" s="10" t="s">
        <v>44</v>
      </c>
      <c r="H111" s="10" t="s">
        <v>37</v>
      </c>
      <c r="I111" s="13">
        <v>0.3923611111111111</v>
      </c>
      <c r="J111" s="13">
        <v>0.7875</v>
      </c>
      <c r="K111" s="10">
        <v>30.0</v>
      </c>
      <c r="L111" s="13">
        <v>0.4791666666666667</v>
      </c>
      <c r="M111" s="13">
        <v>0.7291666666666666</v>
      </c>
      <c r="N111" s="10">
        <v>50.0</v>
      </c>
      <c r="O111" s="10">
        <v>1.0</v>
      </c>
      <c r="P111" s="10">
        <v>109.0</v>
      </c>
      <c r="Q111" s="14">
        <f t="shared" si="1"/>
        <v>46045</v>
      </c>
      <c r="R111" s="15">
        <f t="shared" si="2"/>
        <v>8.983333333</v>
      </c>
      <c r="S111" s="16">
        <f>IFERROR(__xludf.DUMMYFUNCTION("IFERROR( INDEX( FILTER( Reference!$F:$F, Reference!$A:$A = $E111, Reference!$E:$E = $D111, Reference!$C:$C = $Q111),1),""RATE_NOT_FOUND"")"),26.0)</f>
        <v>26</v>
      </c>
      <c r="T111" s="15">
        <f t="shared" si="3"/>
        <v>233.5666667</v>
      </c>
      <c r="U111" s="15">
        <f t="shared" si="4"/>
        <v>5.166666667</v>
      </c>
      <c r="V111" s="17">
        <f t="shared" si="5"/>
        <v>21.09677419</v>
      </c>
      <c r="W111" s="18" t="str">
        <f t="shared" si="6"/>
        <v>Friday</v>
      </c>
      <c r="X111" s="18">
        <f t="shared" si="7"/>
        <v>50</v>
      </c>
      <c r="Y111" s="14">
        <f>IFERROR(__xludf.DUMMYFUNCTION("IFERROR( INDEX( FILTER(Reference!$D:$D, Reference!$A:$A=$E111, Reference!$C:$C=$Q111), 1),"""")"),46052.0)</f>
        <v>46052</v>
      </c>
      <c r="Z111" s="18">
        <f t="shared" si="8"/>
        <v>24.43333333</v>
      </c>
      <c r="AA111" s="18">
        <f>IF(Z111=0,0, IF(Z111&gt;=LOOKUP(Q111,MinHr_Weekly_Bonus!A:A,MinHr_Weekly_Bonus!B:B), LOOKUP(Q111,MinHr_Weekly_Bonus!A:A,MinHr_Weekly_Bonus!C:C), 0))</f>
        <v>100</v>
      </c>
      <c r="AB111" s="15">
        <f t="shared" si="9"/>
        <v>283.5666667</v>
      </c>
      <c r="AC111" s="18" t="str">
        <f t="shared" si="10"/>
        <v/>
      </c>
    </row>
    <row r="112">
      <c r="A112" s="10" t="s">
        <v>36</v>
      </c>
      <c r="B112" s="12">
        <v>46045.0</v>
      </c>
      <c r="C112" s="10" t="s">
        <v>67</v>
      </c>
      <c r="D112" s="10" t="s">
        <v>8</v>
      </c>
      <c r="E112" s="10" t="s">
        <v>11</v>
      </c>
      <c r="F112" s="10" t="s">
        <v>7</v>
      </c>
      <c r="G112" s="10" t="s">
        <v>44</v>
      </c>
      <c r="H112" s="10" t="s">
        <v>37</v>
      </c>
      <c r="I112" s="13">
        <v>0.45416666666666666</v>
      </c>
      <c r="J112" s="13">
        <v>0.7722222222222223</v>
      </c>
      <c r="K112" s="10">
        <v>30.0</v>
      </c>
      <c r="L112" s="13">
        <v>0.48680555555555555</v>
      </c>
      <c r="M112" s="13">
        <v>0.7291666666666666</v>
      </c>
      <c r="N112" s="10">
        <v>50.0</v>
      </c>
      <c r="O112" s="10">
        <v>1.0</v>
      </c>
      <c r="P112" s="10">
        <v>84.0</v>
      </c>
      <c r="Q112" s="14">
        <f t="shared" si="1"/>
        <v>46045</v>
      </c>
      <c r="R112" s="15">
        <f t="shared" si="2"/>
        <v>7.133333333</v>
      </c>
      <c r="S112" s="16">
        <f>IFERROR(__xludf.DUMMYFUNCTION("IFERROR( INDEX( FILTER( Reference!$F:$F, Reference!$A:$A = $E112, Reference!$E:$E = $D112, Reference!$C:$C = $Q112),1),""RATE_NOT_FOUND"")"),24.0)</f>
        <v>24</v>
      </c>
      <c r="T112" s="15">
        <f t="shared" si="3"/>
        <v>171.2</v>
      </c>
      <c r="U112" s="15">
        <f t="shared" si="4"/>
        <v>4.983333333</v>
      </c>
      <c r="V112" s="17">
        <f t="shared" si="5"/>
        <v>16.85618729</v>
      </c>
      <c r="W112" s="18" t="str">
        <f t="shared" si="6"/>
        <v>Friday</v>
      </c>
      <c r="X112" s="18">
        <f t="shared" si="7"/>
        <v>0</v>
      </c>
      <c r="Y112" s="14">
        <f>IFERROR(__xludf.DUMMYFUNCTION("IFERROR( INDEX( FILTER(Reference!$D:$D, Reference!$A:$A=$E112, Reference!$C:$C=$Q112), 1),"""")"),46052.0)</f>
        <v>46052</v>
      </c>
      <c r="Z112" s="18">
        <f t="shared" si="8"/>
        <v>9.733333333</v>
      </c>
      <c r="AA112" s="18">
        <f>IF(Z112=0,0, IF(Z112&gt;=LOOKUP(Q112,MinHr_Weekly_Bonus!A:A,MinHr_Weekly_Bonus!B:B), LOOKUP(Q112,MinHr_Weekly_Bonus!A:A,MinHr_Weekly_Bonus!C:C), 0))</f>
        <v>0</v>
      </c>
      <c r="AB112" s="15">
        <f t="shared" si="9"/>
        <v>171.2</v>
      </c>
      <c r="AC112" s="18" t="str">
        <f t="shared" si="10"/>
        <v/>
      </c>
    </row>
    <row r="113">
      <c r="A113" s="10" t="s">
        <v>36</v>
      </c>
      <c r="B113" s="12">
        <v>46043.0</v>
      </c>
      <c r="C113" s="10" t="s">
        <v>53</v>
      </c>
      <c r="D113" s="10" t="s">
        <v>8</v>
      </c>
      <c r="E113" s="10" t="s">
        <v>6</v>
      </c>
      <c r="F113" s="10" t="s">
        <v>7</v>
      </c>
      <c r="G113" s="10" t="s">
        <v>38</v>
      </c>
      <c r="H113" s="10" t="s">
        <v>46</v>
      </c>
      <c r="I113" s="13">
        <v>0.4479166666666667</v>
      </c>
      <c r="J113" s="13">
        <v>0.46875</v>
      </c>
      <c r="K113" s="10">
        <v>0.0</v>
      </c>
      <c r="O113" s="10">
        <v>0.0</v>
      </c>
      <c r="P113" s="10">
        <v>0.0</v>
      </c>
      <c r="Q113" s="14">
        <f t="shared" si="1"/>
        <v>46045</v>
      </c>
      <c r="R113" s="15">
        <f t="shared" si="2"/>
        <v>0.5</v>
      </c>
      <c r="S113" s="16">
        <f>IFERROR(__xludf.DUMMYFUNCTION("IFERROR( INDEX( FILTER( Reference!$F:$F, Reference!$A:$A = $E113, Reference!$E:$E = $D113, Reference!$C:$C = $Q113),1),""RATE_NOT_FOUND"")"),24.0)</f>
        <v>24</v>
      </c>
      <c r="T113" s="15">
        <f t="shared" si="3"/>
        <v>12</v>
      </c>
      <c r="U113" s="15">
        <f t="shared" si="4"/>
        <v>0</v>
      </c>
      <c r="V113" s="17">
        <f t="shared" si="5"/>
        <v>0</v>
      </c>
      <c r="W113" s="18" t="str">
        <f t="shared" si="6"/>
        <v>Wednesday</v>
      </c>
      <c r="X113" s="18">
        <f t="shared" si="7"/>
        <v>0</v>
      </c>
      <c r="Y113" s="14">
        <f>IFERROR(__xludf.DUMMYFUNCTION("IFERROR( INDEX( FILTER(Reference!$D:$D, Reference!$A:$A=$E113, Reference!$C:$C=$Q113), 1),"""")"),46052.0)</f>
        <v>46052</v>
      </c>
      <c r="Z113" s="18">
        <f t="shared" si="8"/>
        <v>9.416666667</v>
      </c>
      <c r="AA113" s="18">
        <f>IF(Z113=0,0, IF(Z113&gt;=LOOKUP(Q113,MinHr_Weekly_Bonus!A:A,MinHr_Weekly_Bonus!B:B), LOOKUP(Q113,MinHr_Weekly_Bonus!A:A,MinHr_Weekly_Bonus!C:C), 0))</f>
        <v>0</v>
      </c>
      <c r="AB113" s="15">
        <f t="shared" si="9"/>
        <v>12</v>
      </c>
      <c r="AC113" s="18" t="str">
        <f t="shared" si="10"/>
        <v/>
      </c>
    </row>
    <row r="114">
      <c r="A114" s="10" t="s">
        <v>36</v>
      </c>
      <c r="B114" s="12">
        <v>46046.0</v>
      </c>
      <c r="C114" s="10" t="s">
        <v>61</v>
      </c>
      <c r="D114" s="10" t="s">
        <v>10</v>
      </c>
      <c r="E114" s="10" t="s">
        <v>6</v>
      </c>
      <c r="F114" s="10" t="s">
        <v>7</v>
      </c>
      <c r="G114" s="10" t="s">
        <v>44</v>
      </c>
      <c r="I114" s="13">
        <v>0.6451388888888889</v>
      </c>
      <c r="J114" s="13">
        <v>0.8333333333333334</v>
      </c>
      <c r="K114" s="10">
        <v>0.0</v>
      </c>
      <c r="O114" s="10">
        <v>1.0</v>
      </c>
      <c r="Q114" s="14">
        <f t="shared" si="1"/>
        <v>46052</v>
      </c>
      <c r="R114" s="15">
        <f t="shared" si="2"/>
        <v>4.516666667</v>
      </c>
      <c r="S114" s="16">
        <f>IFERROR(__xludf.DUMMYFUNCTION("IFERROR( INDEX( FILTER( Reference!$F:$F, Reference!$A:$A = $E114, Reference!$E:$E = $D114, Reference!$C:$C = $Q114),1),""RATE_NOT_FOUND"")"),22.0)</f>
        <v>22</v>
      </c>
      <c r="T114" s="15">
        <f t="shared" si="3"/>
        <v>99.36666667</v>
      </c>
      <c r="U114" s="15">
        <f t="shared" si="4"/>
        <v>0</v>
      </c>
      <c r="V114" s="17">
        <f t="shared" si="5"/>
        <v>0</v>
      </c>
      <c r="W114" s="18" t="str">
        <f t="shared" si="6"/>
        <v>Saturday</v>
      </c>
      <c r="X114" s="18">
        <f t="shared" si="7"/>
        <v>0</v>
      </c>
      <c r="Y114" s="14">
        <f>IFERROR(__xludf.DUMMYFUNCTION("IFERROR( INDEX( FILTER(Reference!$D:$D, Reference!$A:$A=$E114, Reference!$C:$C=$Q114), 1),"""")"),46052.0)</f>
        <v>46052</v>
      </c>
      <c r="Z114" s="18">
        <f t="shared" si="8"/>
        <v>0</v>
      </c>
      <c r="AA114" s="18">
        <f>IF(Z114=0,0, IF(Z114&gt;=LOOKUP(Q114,MinHr_Weekly_Bonus!A:A,MinHr_Weekly_Bonus!B:B), LOOKUP(Q114,MinHr_Weekly_Bonus!A:A,MinHr_Weekly_Bonus!C:C), 0))</f>
        <v>0</v>
      </c>
      <c r="AB114" s="15">
        <f t="shared" si="9"/>
        <v>99.36666667</v>
      </c>
      <c r="AC114" s="18" t="str">
        <f t="shared" si="10"/>
        <v/>
      </c>
    </row>
    <row r="115">
      <c r="A115" s="10" t="s">
        <v>36</v>
      </c>
      <c r="B115" s="12">
        <v>46046.0</v>
      </c>
      <c r="C115" s="10" t="s">
        <v>62</v>
      </c>
      <c r="D115" s="10" t="s">
        <v>8</v>
      </c>
      <c r="E115" s="10" t="s">
        <v>6</v>
      </c>
      <c r="F115" s="10" t="s">
        <v>7</v>
      </c>
      <c r="G115" s="10" t="s">
        <v>44</v>
      </c>
      <c r="H115" s="10" t="s">
        <v>51</v>
      </c>
      <c r="I115" s="13">
        <v>0.4548611111111111</v>
      </c>
      <c r="J115" s="13">
        <v>0.7708333333333334</v>
      </c>
      <c r="K115" s="10">
        <v>30.0</v>
      </c>
      <c r="L115" s="13">
        <v>0.4791666666666667</v>
      </c>
      <c r="M115" s="13">
        <v>0.7291666666666666</v>
      </c>
      <c r="N115" s="10">
        <v>60.0</v>
      </c>
      <c r="O115" s="10">
        <v>1.0</v>
      </c>
      <c r="P115" s="10">
        <v>98.0</v>
      </c>
      <c r="Q115" s="14">
        <f t="shared" si="1"/>
        <v>46052</v>
      </c>
      <c r="R115" s="15">
        <f t="shared" si="2"/>
        <v>7.083333333</v>
      </c>
      <c r="S115" s="16">
        <f>IFERROR(__xludf.DUMMYFUNCTION("IFERROR( INDEX( FILTER( Reference!$F:$F, Reference!$A:$A = $E115, Reference!$E:$E = $D115, Reference!$C:$C = $Q115),1),""RATE_NOT_FOUND"")"),24.0)</f>
        <v>24</v>
      </c>
      <c r="T115" s="15">
        <f t="shared" si="3"/>
        <v>170</v>
      </c>
      <c r="U115" s="15">
        <f t="shared" si="4"/>
        <v>5</v>
      </c>
      <c r="V115" s="17">
        <f t="shared" si="5"/>
        <v>19.6</v>
      </c>
      <c r="W115" s="18" t="str">
        <f t="shared" si="6"/>
        <v>Saturday</v>
      </c>
      <c r="X115" s="18">
        <f t="shared" si="7"/>
        <v>50</v>
      </c>
      <c r="Y115" s="14">
        <f>IFERROR(__xludf.DUMMYFUNCTION("IFERROR( INDEX( FILTER(Reference!$D:$D, Reference!$A:$A=$E115, Reference!$C:$C=$Q115), 1),"""")"),46052.0)</f>
        <v>46052</v>
      </c>
      <c r="Z115" s="18">
        <f t="shared" si="8"/>
        <v>20.2</v>
      </c>
      <c r="AA115" s="18">
        <f>IF(Z115=0,0, IF(Z115&gt;=LOOKUP(Q115,MinHr_Weekly_Bonus!A:A,MinHr_Weekly_Bonus!B:B), LOOKUP(Q115,MinHr_Weekly_Bonus!A:A,MinHr_Weekly_Bonus!C:C), 0))</f>
        <v>0</v>
      </c>
      <c r="AB115" s="15">
        <f t="shared" si="9"/>
        <v>220</v>
      </c>
      <c r="AC115" s="18" t="str">
        <f t="shared" si="10"/>
        <v/>
      </c>
    </row>
    <row r="116">
      <c r="A116" s="10" t="s">
        <v>36</v>
      </c>
      <c r="B116" s="12">
        <v>46046.0</v>
      </c>
      <c r="C116" s="10" t="s">
        <v>54</v>
      </c>
      <c r="D116" s="10" t="s">
        <v>8</v>
      </c>
      <c r="E116" s="10" t="s">
        <v>6</v>
      </c>
      <c r="F116" s="10" t="s">
        <v>7</v>
      </c>
      <c r="G116" s="10" t="s">
        <v>44</v>
      </c>
      <c r="H116" s="10" t="s">
        <v>51</v>
      </c>
      <c r="I116" s="13">
        <v>0.4479166666666667</v>
      </c>
      <c r="J116" s="13">
        <v>0.7791666666666667</v>
      </c>
      <c r="K116" s="10">
        <v>30.0</v>
      </c>
      <c r="L116" s="13">
        <v>0.4791666666666667</v>
      </c>
      <c r="M116" s="13">
        <v>0.7291666666666666</v>
      </c>
      <c r="N116" s="10">
        <v>60.0</v>
      </c>
      <c r="O116" s="10">
        <v>1.0</v>
      </c>
      <c r="P116" s="10">
        <v>65.0</v>
      </c>
      <c r="Q116" s="14">
        <f t="shared" si="1"/>
        <v>46052</v>
      </c>
      <c r="R116" s="15">
        <f t="shared" si="2"/>
        <v>7.45</v>
      </c>
      <c r="S116" s="16">
        <f>IFERROR(__xludf.DUMMYFUNCTION("IFERROR( INDEX( FILTER( Reference!$F:$F, Reference!$A:$A = $E116, Reference!$E:$E = $D116, Reference!$C:$C = $Q116),1),""RATE_NOT_FOUND"")"),24.0)</f>
        <v>24</v>
      </c>
      <c r="T116" s="15">
        <f t="shared" si="3"/>
        <v>178.8</v>
      </c>
      <c r="U116" s="15">
        <f t="shared" si="4"/>
        <v>5</v>
      </c>
      <c r="V116" s="17">
        <f t="shared" si="5"/>
        <v>13</v>
      </c>
      <c r="W116" s="18" t="str">
        <f t="shared" si="6"/>
        <v>Saturday</v>
      </c>
      <c r="X116" s="18">
        <f t="shared" si="7"/>
        <v>0</v>
      </c>
      <c r="Y116" s="14">
        <f>IFERROR(__xludf.DUMMYFUNCTION("IFERROR( INDEX( FILTER(Reference!$D:$D, Reference!$A:$A=$E116, Reference!$C:$C=$Q116), 1),"""")"),46052.0)</f>
        <v>46052</v>
      </c>
      <c r="Z116" s="18">
        <f t="shared" si="8"/>
        <v>15.4</v>
      </c>
      <c r="AA116" s="18">
        <f>IF(Z116=0,0, IF(Z116&gt;=LOOKUP(Q116,MinHr_Weekly_Bonus!A:A,MinHr_Weekly_Bonus!B:B), LOOKUP(Q116,MinHr_Weekly_Bonus!A:A,MinHr_Weekly_Bonus!C:C), 0))</f>
        <v>0</v>
      </c>
      <c r="AB116" s="15">
        <f t="shared" si="9"/>
        <v>178.8</v>
      </c>
      <c r="AC116" s="18" t="str">
        <f t="shared" si="10"/>
        <v/>
      </c>
    </row>
    <row r="117">
      <c r="A117" s="10" t="s">
        <v>36</v>
      </c>
      <c r="B117" s="12">
        <v>46046.0</v>
      </c>
      <c r="C117" s="10" t="s">
        <v>51</v>
      </c>
      <c r="D117" s="10" t="s">
        <v>9</v>
      </c>
      <c r="E117" s="10" t="s">
        <v>6</v>
      </c>
      <c r="F117" s="10" t="s">
        <v>7</v>
      </c>
      <c r="G117" s="10" t="s">
        <v>44</v>
      </c>
      <c r="H117" s="10" t="s">
        <v>51</v>
      </c>
      <c r="I117" s="13">
        <v>0.4236111111111111</v>
      </c>
      <c r="J117" s="13">
        <v>0.7847222222222222</v>
      </c>
      <c r="K117" s="10">
        <v>30.0</v>
      </c>
      <c r="L117" s="13">
        <v>0.4826388888888889</v>
      </c>
      <c r="M117" s="13">
        <v>0.7361111111111112</v>
      </c>
      <c r="N117" s="10">
        <v>50.0</v>
      </c>
      <c r="O117" s="10">
        <v>1.0</v>
      </c>
      <c r="P117" s="10">
        <v>66.0</v>
      </c>
      <c r="Q117" s="14">
        <f t="shared" si="1"/>
        <v>46052</v>
      </c>
      <c r="R117" s="15">
        <f t="shared" si="2"/>
        <v>8.166666667</v>
      </c>
      <c r="S117" s="16">
        <f>IFERROR(__xludf.DUMMYFUNCTION("IFERROR( INDEX( FILTER( Reference!$F:$F, Reference!$A:$A = $E117, Reference!$E:$E = $D117, Reference!$C:$C = $Q117),1),""RATE_NOT_FOUND"")"),27.0)</f>
        <v>27</v>
      </c>
      <c r="T117" s="15">
        <f t="shared" si="3"/>
        <v>220.5</v>
      </c>
      <c r="U117" s="15">
        <f t="shared" si="4"/>
        <v>5.25</v>
      </c>
      <c r="V117" s="17">
        <f t="shared" si="5"/>
        <v>12.57142857</v>
      </c>
      <c r="W117" s="18" t="str">
        <f t="shared" si="6"/>
        <v>Saturday</v>
      </c>
      <c r="X117" s="18">
        <f t="shared" si="7"/>
        <v>0</v>
      </c>
      <c r="Y117" s="14">
        <f>IFERROR(__xludf.DUMMYFUNCTION("IFERROR( INDEX( FILTER(Reference!$D:$D, Reference!$A:$A=$E117, Reference!$C:$C=$Q117), 1),"""")"),46052.0)</f>
        <v>46052</v>
      </c>
      <c r="Z117" s="18">
        <f t="shared" si="8"/>
        <v>26.23333333</v>
      </c>
      <c r="AA117" s="18">
        <f>IF(Z117=0,0, IF(Z117&gt;=LOOKUP(Q117,MinHr_Weekly_Bonus!A:A,MinHr_Weekly_Bonus!B:B), LOOKUP(Q117,MinHr_Weekly_Bonus!A:A,MinHr_Weekly_Bonus!C:C), 0))</f>
        <v>150</v>
      </c>
      <c r="AB117" s="15">
        <f t="shared" si="9"/>
        <v>220.5</v>
      </c>
      <c r="AC117" s="18" t="str">
        <f t="shared" si="10"/>
        <v/>
      </c>
    </row>
    <row r="118">
      <c r="A118" s="10" t="s">
        <v>36</v>
      </c>
      <c r="B118" s="12">
        <v>46046.0</v>
      </c>
      <c r="C118" s="10" t="s">
        <v>70</v>
      </c>
      <c r="D118" s="10" t="s">
        <v>8</v>
      </c>
      <c r="E118" s="10" t="s">
        <v>6</v>
      </c>
      <c r="F118" s="10" t="s">
        <v>7</v>
      </c>
      <c r="G118" s="10" t="s">
        <v>44</v>
      </c>
      <c r="H118" s="10" t="s">
        <v>42</v>
      </c>
      <c r="I118" s="13">
        <v>0.3958333333333333</v>
      </c>
      <c r="J118" s="13">
        <v>0.7854166666666667</v>
      </c>
      <c r="K118" s="10">
        <v>30.0</v>
      </c>
      <c r="L118" s="13">
        <v>0.4826388888888889</v>
      </c>
      <c r="M118" s="13">
        <v>0.7361111111111112</v>
      </c>
      <c r="N118" s="10">
        <v>50.0</v>
      </c>
      <c r="O118" s="10">
        <v>1.0</v>
      </c>
      <c r="P118" s="10">
        <v>88.0</v>
      </c>
      <c r="Q118" s="14">
        <f t="shared" si="1"/>
        <v>46052</v>
      </c>
      <c r="R118" s="15">
        <f t="shared" si="2"/>
        <v>8.85</v>
      </c>
      <c r="S118" s="16">
        <f>IFERROR(__xludf.DUMMYFUNCTION("IFERROR( INDEX( FILTER( Reference!$F:$F, Reference!$A:$A = $E118, Reference!$E:$E = $D118, Reference!$C:$C = $Q118),1),""RATE_NOT_FOUND"")"),24.0)</f>
        <v>24</v>
      </c>
      <c r="T118" s="15">
        <f t="shared" si="3"/>
        <v>212.4</v>
      </c>
      <c r="U118" s="15">
        <f t="shared" si="4"/>
        <v>5.25</v>
      </c>
      <c r="V118" s="17">
        <f t="shared" si="5"/>
        <v>16.76190476</v>
      </c>
      <c r="W118" s="18" t="str">
        <f t="shared" si="6"/>
        <v>Saturday</v>
      </c>
      <c r="X118" s="18">
        <f t="shared" si="7"/>
        <v>0</v>
      </c>
      <c r="Y118" s="14">
        <f>IFERROR(__xludf.DUMMYFUNCTION("IFERROR( INDEX( FILTER(Reference!$D:$D, Reference!$A:$A=$E118, Reference!$C:$C=$Q118), 1),"""")"),46052.0)</f>
        <v>46052</v>
      </c>
      <c r="Z118" s="18">
        <f t="shared" si="8"/>
        <v>19.85</v>
      </c>
      <c r="AA118" s="18">
        <f>IF(Z118=0,0, IF(Z118&gt;=LOOKUP(Q118,MinHr_Weekly_Bonus!A:A,MinHr_Weekly_Bonus!B:B), LOOKUP(Q118,MinHr_Weekly_Bonus!A:A,MinHr_Weekly_Bonus!C:C), 0))</f>
        <v>0</v>
      </c>
      <c r="AB118" s="15">
        <f t="shared" si="9"/>
        <v>212.4</v>
      </c>
      <c r="AC118" s="18" t="str">
        <f t="shared" si="10"/>
        <v/>
      </c>
    </row>
    <row r="119">
      <c r="A119" s="10" t="s">
        <v>36</v>
      </c>
      <c r="B119" s="12">
        <v>46046.0</v>
      </c>
      <c r="C119" s="10" t="s">
        <v>71</v>
      </c>
      <c r="D119" s="10" t="s">
        <v>8</v>
      </c>
      <c r="E119" s="10" t="s">
        <v>6</v>
      </c>
      <c r="F119" s="10" t="s">
        <v>7</v>
      </c>
      <c r="G119" s="10" t="s">
        <v>44</v>
      </c>
      <c r="H119" s="10" t="s">
        <v>42</v>
      </c>
      <c r="I119" s="13">
        <v>0.3958333333333333</v>
      </c>
      <c r="J119" s="13">
        <v>0.7694444444444445</v>
      </c>
      <c r="K119" s="10">
        <v>30.0</v>
      </c>
      <c r="L119" s="13">
        <v>0.4826388888888889</v>
      </c>
      <c r="M119" s="13">
        <v>0.7361111111111112</v>
      </c>
      <c r="N119" s="10">
        <v>50.0</v>
      </c>
      <c r="O119" s="10">
        <v>1.0</v>
      </c>
      <c r="P119" s="10">
        <v>61.0</v>
      </c>
      <c r="Q119" s="14">
        <f t="shared" si="1"/>
        <v>46052</v>
      </c>
      <c r="R119" s="15">
        <f t="shared" si="2"/>
        <v>8.466666667</v>
      </c>
      <c r="S119" s="16">
        <f>IFERROR(__xludf.DUMMYFUNCTION("IFERROR( INDEX( FILTER( Reference!$F:$F, Reference!$A:$A = $E119, Reference!$E:$E = $D119, Reference!$C:$C = $Q119),1),""RATE_NOT_FOUND"")"),24.0)</f>
        <v>24</v>
      </c>
      <c r="T119" s="15">
        <f t="shared" si="3"/>
        <v>203.2</v>
      </c>
      <c r="U119" s="15">
        <f t="shared" si="4"/>
        <v>5.25</v>
      </c>
      <c r="V119" s="17">
        <f t="shared" si="5"/>
        <v>11.61904762</v>
      </c>
      <c r="W119" s="18" t="str">
        <f t="shared" si="6"/>
        <v>Saturday</v>
      </c>
      <c r="X119" s="18">
        <f t="shared" si="7"/>
        <v>0</v>
      </c>
      <c r="Y119" s="14">
        <f>IFERROR(__xludf.DUMMYFUNCTION("IFERROR( INDEX( FILTER(Reference!$D:$D, Reference!$A:$A=$E119, Reference!$C:$C=$Q119), 1),"""")"),46052.0)</f>
        <v>46052</v>
      </c>
      <c r="Z119" s="18">
        <f t="shared" si="8"/>
        <v>14.25</v>
      </c>
      <c r="AA119" s="18">
        <f>IF(Z119=0,0, IF(Z119&gt;=LOOKUP(Q119,MinHr_Weekly_Bonus!A:A,MinHr_Weekly_Bonus!B:B), LOOKUP(Q119,MinHr_Weekly_Bonus!A:A,MinHr_Weekly_Bonus!C:C), 0))</f>
        <v>0</v>
      </c>
      <c r="AB119" s="15">
        <f t="shared" si="9"/>
        <v>203.2</v>
      </c>
      <c r="AC119" s="18" t="str">
        <f t="shared" si="10"/>
        <v/>
      </c>
    </row>
    <row r="120">
      <c r="A120" s="10" t="s">
        <v>36</v>
      </c>
      <c r="B120" s="12">
        <v>46046.0</v>
      </c>
      <c r="C120" s="10" t="s">
        <v>67</v>
      </c>
      <c r="D120" s="10" t="s">
        <v>8</v>
      </c>
      <c r="E120" s="10" t="s">
        <v>6</v>
      </c>
      <c r="F120" s="10" t="s">
        <v>7</v>
      </c>
      <c r="G120" s="10" t="s">
        <v>44</v>
      </c>
      <c r="H120" s="10" t="s">
        <v>42</v>
      </c>
      <c r="I120" s="13">
        <v>0.45</v>
      </c>
      <c r="J120" s="13">
        <v>0.7743055555555556</v>
      </c>
      <c r="K120" s="10">
        <v>30.0</v>
      </c>
      <c r="L120" s="13">
        <v>0.4895833333333333</v>
      </c>
      <c r="M120" s="13">
        <v>0.7291666666666666</v>
      </c>
      <c r="N120" s="10">
        <v>60.0</v>
      </c>
      <c r="O120" s="10">
        <v>1.0</v>
      </c>
      <c r="P120" s="10">
        <v>71.0</v>
      </c>
      <c r="Q120" s="14">
        <f t="shared" si="1"/>
        <v>46052</v>
      </c>
      <c r="R120" s="15">
        <f t="shared" si="2"/>
        <v>7.283333333</v>
      </c>
      <c r="S120" s="16">
        <f>IFERROR(__xludf.DUMMYFUNCTION("IFERROR( INDEX( FILTER( Reference!$F:$F, Reference!$A:$A = $E120, Reference!$E:$E = $D120, Reference!$C:$C = $Q120),1),""RATE_NOT_FOUND"")"),24.0)</f>
        <v>24</v>
      </c>
      <c r="T120" s="15">
        <f t="shared" si="3"/>
        <v>174.8</v>
      </c>
      <c r="U120" s="15">
        <f t="shared" si="4"/>
        <v>4.75</v>
      </c>
      <c r="V120" s="17">
        <f t="shared" si="5"/>
        <v>14.94736842</v>
      </c>
      <c r="W120" s="18" t="str">
        <f t="shared" si="6"/>
        <v>Saturday</v>
      </c>
      <c r="X120" s="18">
        <f t="shared" si="7"/>
        <v>0</v>
      </c>
      <c r="Y120" s="14">
        <f>IFERROR(__xludf.DUMMYFUNCTION("IFERROR( INDEX( FILTER(Reference!$D:$D, Reference!$A:$A=$E120, Reference!$C:$C=$Q120), 1),"""")"),46052.0)</f>
        <v>46052</v>
      </c>
      <c r="Z120" s="18">
        <f t="shared" si="8"/>
        <v>19.83333333</v>
      </c>
      <c r="AA120" s="18">
        <f>IF(Z120=0,0, IF(Z120&gt;=LOOKUP(Q120,MinHr_Weekly_Bonus!A:A,MinHr_Weekly_Bonus!B:B), LOOKUP(Q120,MinHr_Weekly_Bonus!A:A,MinHr_Weekly_Bonus!C:C), 0))</f>
        <v>0</v>
      </c>
      <c r="AB120" s="15">
        <f t="shared" si="9"/>
        <v>174.8</v>
      </c>
      <c r="AC120" s="18" t="str">
        <f t="shared" si="10"/>
        <v/>
      </c>
    </row>
    <row r="121">
      <c r="A121" s="10" t="s">
        <v>36</v>
      </c>
      <c r="B121" s="12">
        <v>46046.0</v>
      </c>
      <c r="C121" s="10" t="s">
        <v>39</v>
      </c>
      <c r="D121" s="10" t="s">
        <v>8</v>
      </c>
      <c r="E121" s="10" t="s">
        <v>6</v>
      </c>
      <c r="F121" s="10" t="s">
        <v>7</v>
      </c>
      <c r="G121" s="10" t="s">
        <v>44</v>
      </c>
      <c r="H121" s="10" t="s">
        <v>42</v>
      </c>
      <c r="I121" s="13">
        <v>0.4479166666666667</v>
      </c>
      <c r="J121" s="13">
        <v>0.7708333333333334</v>
      </c>
      <c r="K121" s="10">
        <v>30.0</v>
      </c>
      <c r="L121" s="13">
        <v>0.4895833333333333</v>
      </c>
      <c r="M121" s="13">
        <v>0.7291666666666666</v>
      </c>
      <c r="N121" s="10">
        <v>60.0</v>
      </c>
      <c r="O121" s="10">
        <v>1.0</v>
      </c>
      <c r="P121" s="10">
        <v>85.0</v>
      </c>
      <c r="Q121" s="14">
        <f t="shared" si="1"/>
        <v>46052</v>
      </c>
      <c r="R121" s="15">
        <f t="shared" si="2"/>
        <v>7.25</v>
      </c>
      <c r="S121" s="16">
        <f>IFERROR(__xludf.DUMMYFUNCTION("IFERROR( INDEX( FILTER( Reference!$F:$F, Reference!$A:$A = $E121, Reference!$E:$E = $D121, Reference!$C:$C = $Q121),1),""RATE_NOT_FOUND"")"),24.0)</f>
        <v>24</v>
      </c>
      <c r="T121" s="15">
        <f t="shared" si="3"/>
        <v>174</v>
      </c>
      <c r="U121" s="15">
        <f t="shared" si="4"/>
        <v>4.75</v>
      </c>
      <c r="V121" s="17">
        <f t="shared" si="5"/>
        <v>17.89473684</v>
      </c>
      <c r="W121" s="18" t="str">
        <f t="shared" si="6"/>
        <v>Saturday</v>
      </c>
      <c r="X121" s="18">
        <f t="shared" si="7"/>
        <v>0</v>
      </c>
      <c r="Y121" s="14">
        <f>IFERROR(__xludf.DUMMYFUNCTION("IFERROR( INDEX( FILTER(Reference!$D:$D, Reference!$A:$A=$E121, Reference!$C:$C=$Q121), 1),"""")"),46052.0)</f>
        <v>46052</v>
      </c>
      <c r="Z121" s="18">
        <f t="shared" si="8"/>
        <v>14.66666667</v>
      </c>
      <c r="AA121" s="18">
        <f>IF(Z121=0,0, IF(Z121&gt;=LOOKUP(Q121,MinHr_Weekly_Bonus!A:A,MinHr_Weekly_Bonus!B:B), LOOKUP(Q121,MinHr_Weekly_Bonus!A:A,MinHr_Weekly_Bonus!C:C), 0))</f>
        <v>0</v>
      </c>
      <c r="AB121" s="15">
        <f t="shared" si="9"/>
        <v>174</v>
      </c>
      <c r="AC121" s="18" t="str">
        <f t="shared" si="10"/>
        <v/>
      </c>
    </row>
    <row r="122">
      <c r="A122" s="10" t="s">
        <v>36</v>
      </c>
      <c r="B122" s="12">
        <v>46046.0</v>
      </c>
      <c r="C122" s="10" t="s">
        <v>42</v>
      </c>
      <c r="D122" s="10" t="s">
        <v>9</v>
      </c>
      <c r="E122" s="10" t="s">
        <v>6</v>
      </c>
      <c r="F122" s="10" t="s">
        <v>7</v>
      </c>
      <c r="G122" s="10" t="s">
        <v>44</v>
      </c>
      <c r="H122" s="10" t="s">
        <v>42</v>
      </c>
      <c r="I122" s="13">
        <v>0.4236111111111111</v>
      </c>
      <c r="J122" s="13">
        <v>0.7944444444444444</v>
      </c>
      <c r="K122" s="10">
        <v>30.0</v>
      </c>
      <c r="L122" s="13">
        <v>0.4895833333333333</v>
      </c>
      <c r="M122" s="13">
        <v>0.7291666666666666</v>
      </c>
      <c r="N122" s="10">
        <v>50.0</v>
      </c>
      <c r="O122" s="10">
        <v>1.0</v>
      </c>
      <c r="P122" s="10">
        <v>102.0</v>
      </c>
      <c r="Q122" s="14">
        <f t="shared" si="1"/>
        <v>46052</v>
      </c>
      <c r="R122" s="15">
        <f t="shared" si="2"/>
        <v>8.4</v>
      </c>
      <c r="S122" s="16">
        <f>IFERROR(__xludf.DUMMYFUNCTION("IFERROR( INDEX( FILTER( Reference!$F:$F, Reference!$A:$A = $E122, Reference!$E:$E = $D122, Reference!$C:$C = $Q122),1),""RATE_NOT_FOUND"")"),27.0)</f>
        <v>27</v>
      </c>
      <c r="T122" s="15">
        <f t="shared" si="3"/>
        <v>226.8</v>
      </c>
      <c r="U122" s="15">
        <f t="shared" si="4"/>
        <v>4.916666667</v>
      </c>
      <c r="V122" s="17">
        <f t="shared" si="5"/>
        <v>20.74576271</v>
      </c>
      <c r="W122" s="18" t="str">
        <f t="shared" si="6"/>
        <v>Saturday</v>
      </c>
      <c r="X122" s="18">
        <f t="shared" si="7"/>
        <v>50</v>
      </c>
      <c r="Y122" s="14">
        <f>IFERROR(__xludf.DUMMYFUNCTION("IFERROR( INDEX( FILTER(Reference!$D:$D, Reference!$A:$A=$E122, Reference!$C:$C=$Q122), 1),"""")"),46052.0)</f>
        <v>46052</v>
      </c>
      <c r="Z122" s="18">
        <f t="shared" si="8"/>
        <v>24.5</v>
      </c>
      <c r="AA122" s="18">
        <f>IF(Z122=0,0, IF(Z122&gt;=LOOKUP(Q122,MinHr_Weekly_Bonus!A:A,MinHr_Weekly_Bonus!B:B), LOOKUP(Q122,MinHr_Weekly_Bonus!A:A,MinHr_Weekly_Bonus!C:C), 0))</f>
        <v>0</v>
      </c>
      <c r="AB122" s="15">
        <f t="shared" si="9"/>
        <v>276.8</v>
      </c>
      <c r="AC122" s="18" t="str">
        <f t="shared" si="10"/>
        <v/>
      </c>
    </row>
    <row r="123">
      <c r="A123" s="10" t="s">
        <v>36</v>
      </c>
      <c r="B123" s="12">
        <v>46046.0</v>
      </c>
      <c r="C123" s="10" t="s">
        <v>72</v>
      </c>
      <c r="D123" s="10" t="s">
        <v>8</v>
      </c>
      <c r="E123" s="10" t="s">
        <v>11</v>
      </c>
      <c r="F123" s="10" t="s">
        <v>7</v>
      </c>
      <c r="G123" s="10" t="s">
        <v>44</v>
      </c>
      <c r="H123" s="10" t="s">
        <v>41</v>
      </c>
      <c r="I123" s="13">
        <v>0.3958333333333333</v>
      </c>
      <c r="J123" s="13">
        <v>0.7916666666666666</v>
      </c>
      <c r="K123" s="10">
        <v>30.0</v>
      </c>
      <c r="L123" s="13">
        <v>0.4895833333333333</v>
      </c>
      <c r="M123" s="13">
        <v>0.7291666666666666</v>
      </c>
      <c r="N123" s="10">
        <v>50.0</v>
      </c>
      <c r="O123" s="10">
        <v>1.0</v>
      </c>
      <c r="P123" s="10">
        <v>114.0</v>
      </c>
      <c r="Q123" s="14">
        <f t="shared" si="1"/>
        <v>46052</v>
      </c>
      <c r="R123" s="15">
        <f t="shared" si="2"/>
        <v>9</v>
      </c>
      <c r="S123" s="16">
        <f>IFERROR(__xludf.DUMMYFUNCTION("IFERROR( INDEX( FILTER( Reference!$F:$F, Reference!$A:$A = $E123, Reference!$E:$E = $D123, Reference!$C:$C = $Q123),1),""RATE_NOT_FOUND"")"),24.0)</f>
        <v>24</v>
      </c>
      <c r="T123" s="15">
        <f t="shared" si="3"/>
        <v>216</v>
      </c>
      <c r="U123" s="15">
        <f t="shared" si="4"/>
        <v>4.916666667</v>
      </c>
      <c r="V123" s="17">
        <f t="shared" si="5"/>
        <v>23.18644068</v>
      </c>
      <c r="W123" s="18" t="str">
        <f t="shared" si="6"/>
        <v>Saturday</v>
      </c>
      <c r="X123" s="18">
        <f t="shared" si="7"/>
        <v>50</v>
      </c>
      <c r="Y123" s="14">
        <f>IFERROR(__xludf.DUMMYFUNCTION("IFERROR( INDEX( FILTER(Reference!$D:$D, Reference!$A:$A=$E123, Reference!$C:$C=$Q123), 1),"""")"),46052.0)</f>
        <v>46052</v>
      </c>
      <c r="Z123" s="18">
        <f t="shared" si="8"/>
        <v>4.916666667</v>
      </c>
      <c r="AA123" s="18">
        <f>IF(Z123=0,0, IF(Z123&gt;=LOOKUP(Q123,MinHr_Weekly_Bonus!A:A,MinHr_Weekly_Bonus!B:B), LOOKUP(Q123,MinHr_Weekly_Bonus!A:A,MinHr_Weekly_Bonus!C:C), 0))</f>
        <v>0</v>
      </c>
      <c r="AB123" s="15">
        <f t="shared" si="9"/>
        <v>266</v>
      </c>
      <c r="AC123" s="18" t="str">
        <f t="shared" si="10"/>
        <v/>
      </c>
    </row>
    <row r="124">
      <c r="A124" s="10" t="s">
        <v>36</v>
      </c>
      <c r="B124" s="12">
        <v>46046.0</v>
      </c>
      <c r="C124" s="10" t="s">
        <v>46</v>
      </c>
      <c r="D124" s="10" t="s">
        <v>8</v>
      </c>
      <c r="E124" s="10" t="s">
        <v>11</v>
      </c>
      <c r="F124" s="10" t="s">
        <v>7</v>
      </c>
      <c r="G124" s="10" t="s">
        <v>44</v>
      </c>
      <c r="H124" s="10" t="s">
        <v>41</v>
      </c>
      <c r="I124" s="13">
        <v>0.4479166666666667</v>
      </c>
      <c r="J124" s="13">
        <v>0.78125</v>
      </c>
      <c r="K124" s="10">
        <v>30.0</v>
      </c>
      <c r="L124" s="13">
        <v>0.4888888888888889</v>
      </c>
      <c r="M124" s="13">
        <v>0.7291666666666666</v>
      </c>
      <c r="N124" s="10">
        <v>50.0</v>
      </c>
      <c r="O124" s="10">
        <v>1.0</v>
      </c>
      <c r="P124" s="10">
        <v>70.0</v>
      </c>
      <c r="Q124" s="14">
        <f t="shared" si="1"/>
        <v>46052</v>
      </c>
      <c r="R124" s="15">
        <f t="shared" si="2"/>
        <v>7.5</v>
      </c>
      <c r="S124" s="16">
        <f>IFERROR(__xludf.DUMMYFUNCTION("IFERROR( INDEX( FILTER( Reference!$F:$F, Reference!$A:$A = $E124, Reference!$E:$E = $D124, Reference!$C:$C = $Q124),1),""RATE_NOT_FOUND"")"),24.0)</f>
        <v>24</v>
      </c>
      <c r="T124" s="15">
        <f t="shared" si="3"/>
        <v>180</v>
      </c>
      <c r="U124" s="15">
        <f t="shared" si="4"/>
        <v>4.933333333</v>
      </c>
      <c r="V124" s="17">
        <f t="shared" si="5"/>
        <v>14.18918919</v>
      </c>
      <c r="W124" s="18" t="str">
        <f t="shared" si="6"/>
        <v>Saturday</v>
      </c>
      <c r="X124" s="18">
        <f t="shared" si="7"/>
        <v>0</v>
      </c>
      <c r="Y124" s="14">
        <f>IFERROR(__xludf.DUMMYFUNCTION("IFERROR( INDEX( FILTER(Reference!$D:$D, Reference!$A:$A=$E124, Reference!$C:$C=$Q124), 1),"""")"),46052.0)</f>
        <v>46052</v>
      </c>
      <c r="Z124" s="18">
        <f t="shared" si="8"/>
        <v>10.18333333</v>
      </c>
      <c r="AA124" s="18">
        <f>IF(Z124=0,0, IF(Z124&gt;=LOOKUP(Q124,MinHr_Weekly_Bonus!A:A,MinHr_Weekly_Bonus!B:B), LOOKUP(Q124,MinHr_Weekly_Bonus!A:A,MinHr_Weekly_Bonus!C:C), 0))</f>
        <v>0</v>
      </c>
      <c r="AB124" s="15">
        <f t="shared" si="9"/>
        <v>180</v>
      </c>
      <c r="AC124" s="18" t="str">
        <f t="shared" si="10"/>
        <v/>
      </c>
    </row>
    <row r="125">
      <c r="A125" s="10" t="s">
        <v>36</v>
      </c>
      <c r="B125" s="12">
        <v>46046.0</v>
      </c>
      <c r="C125" s="10" t="s">
        <v>73</v>
      </c>
      <c r="D125" s="10" t="s">
        <v>8</v>
      </c>
      <c r="E125" s="10" t="s">
        <v>11</v>
      </c>
      <c r="F125" s="10" t="s">
        <v>7</v>
      </c>
      <c r="G125" s="10" t="s">
        <v>44</v>
      </c>
      <c r="H125" s="10" t="s">
        <v>41</v>
      </c>
      <c r="I125" s="13">
        <v>0.3958333333333333</v>
      </c>
      <c r="J125" s="13">
        <v>0.7847222222222222</v>
      </c>
      <c r="K125" s="10">
        <v>30.0</v>
      </c>
      <c r="L125" s="13">
        <v>0.4888888888888889</v>
      </c>
      <c r="M125" s="13">
        <v>0.7291666666666666</v>
      </c>
      <c r="N125" s="10">
        <v>50.0</v>
      </c>
      <c r="O125" s="10">
        <v>1.0</v>
      </c>
      <c r="P125" s="10">
        <v>113.0</v>
      </c>
      <c r="Q125" s="14">
        <f t="shared" si="1"/>
        <v>46052</v>
      </c>
      <c r="R125" s="15">
        <f t="shared" si="2"/>
        <v>8.833333333</v>
      </c>
      <c r="S125" s="16">
        <f>IFERROR(__xludf.DUMMYFUNCTION("IFERROR( INDEX( FILTER( Reference!$F:$F, Reference!$A:$A = $E125, Reference!$E:$E = $D125, Reference!$C:$C = $Q125),1),""RATE_NOT_FOUND"")"),24.0)</f>
        <v>24</v>
      </c>
      <c r="T125" s="15">
        <f t="shared" si="3"/>
        <v>212</v>
      </c>
      <c r="U125" s="15">
        <f t="shared" si="4"/>
        <v>4.933333333</v>
      </c>
      <c r="V125" s="17">
        <f t="shared" si="5"/>
        <v>22.90540541</v>
      </c>
      <c r="W125" s="18" t="str">
        <f t="shared" si="6"/>
        <v>Saturday</v>
      </c>
      <c r="X125" s="18">
        <f t="shared" si="7"/>
        <v>50</v>
      </c>
      <c r="Y125" s="14">
        <f>IFERROR(__xludf.DUMMYFUNCTION("IFERROR( INDEX( FILTER(Reference!$D:$D, Reference!$A:$A=$E125, Reference!$C:$C=$Q125), 1),"""")"),46052.0)</f>
        <v>46052</v>
      </c>
      <c r="Z125" s="18">
        <f t="shared" si="8"/>
        <v>11.01666667</v>
      </c>
      <c r="AA125" s="18">
        <f>IF(Z125=0,0, IF(Z125&gt;=LOOKUP(Q125,MinHr_Weekly_Bonus!A:A,MinHr_Weekly_Bonus!B:B), LOOKUP(Q125,MinHr_Weekly_Bonus!A:A,MinHr_Weekly_Bonus!C:C), 0))</f>
        <v>0</v>
      </c>
      <c r="AB125" s="15">
        <f t="shared" si="9"/>
        <v>262</v>
      </c>
      <c r="AC125" s="18" t="str">
        <f t="shared" si="10"/>
        <v/>
      </c>
    </row>
    <row r="126">
      <c r="A126" s="10" t="s">
        <v>36</v>
      </c>
      <c r="B126" s="12">
        <v>46046.0</v>
      </c>
      <c r="C126" s="10" t="s">
        <v>65</v>
      </c>
      <c r="D126" s="10" t="s">
        <v>8</v>
      </c>
      <c r="E126" s="10" t="s">
        <v>11</v>
      </c>
      <c r="F126" s="10" t="s">
        <v>7</v>
      </c>
      <c r="G126" s="10" t="s">
        <v>44</v>
      </c>
      <c r="H126" s="10" t="s">
        <v>41</v>
      </c>
      <c r="I126" s="13">
        <v>0.44930555555555557</v>
      </c>
      <c r="J126" s="13">
        <v>0.78125</v>
      </c>
      <c r="K126" s="10">
        <v>30.0</v>
      </c>
      <c r="L126" s="13">
        <v>0.4861111111111111</v>
      </c>
      <c r="M126" s="13">
        <v>0.7291666666666666</v>
      </c>
      <c r="N126" s="10">
        <v>50.0</v>
      </c>
      <c r="O126" s="10">
        <v>1.0</v>
      </c>
      <c r="P126" s="10">
        <v>95.0</v>
      </c>
      <c r="Q126" s="14">
        <f t="shared" si="1"/>
        <v>46052</v>
      </c>
      <c r="R126" s="15">
        <f t="shared" si="2"/>
        <v>7.466666667</v>
      </c>
      <c r="S126" s="16">
        <f>IFERROR(__xludf.DUMMYFUNCTION("IFERROR( INDEX( FILTER( Reference!$F:$F, Reference!$A:$A = $E126, Reference!$E:$E = $D126, Reference!$C:$C = $Q126),1),""RATE_NOT_FOUND"")"),24.0)</f>
        <v>24</v>
      </c>
      <c r="T126" s="15">
        <f t="shared" si="3"/>
        <v>179.2</v>
      </c>
      <c r="U126" s="15">
        <f t="shared" si="4"/>
        <v>5</v>
      </c>
      <c r="V126" s="17">
        <f t="shared" si="5"/>
        <v>19</v>
      </c>
      <c r="W126" s="18" t="str">
        <f t="shared" si="6"/>
        <v>Saturday</v>
      </c>
      <c r="X126" s="18">
        <f t="shared" si="7"/>
        <v>50</v>
      </c>
      <c r="Y126" s="14">
        <f>IFERROR(__xludf.DUMMYFUNCTION("IFERROR( INDEX( FILTER(Reference!$D:$D, Reference!$A:$A=$E126, Reference!$C:$C=$Q126), 1),"""")"),46052.0)</f>
        <v>46052</v>
      </c>
      <c r="Z126" s="18">
        <f t="shared" si="8"/>
        <v>20.83333333</v>
      </c>
      <c r="AA126" s="18">
        <f>IF(Z126=0,0, IF(Z126&gt;=LOOKUP(Q126,MinHr_Weekly_Bonus!A:A,MinHr_Weekly_Bonus!B:B), LOOKUP(Q126,MinHr_Weekly_Bonus!A:A,MinHr_Weekly_Bonus!C:C), 0))</f>
        <v>0</v>
      </c>
      <c r="AB126" s="15">
        <f t="shared" si="9"/>
        <v>229.2</v>
      </c>
      <c r="AC126" s="18" t="str">
        <f t="shared" si="10"/>
        <v/>
      </c>
    </row>
    <row r="127">
      <c r="A127" s="10" t="s">
        <v>36</v>
      </c>
      <c r="B127" s="12">
        <v>46046.0</v>
      </c>
      <c r="C127" s="10" t="s">
        <v>41</v>
      </c>
      <c r="D127" s="10" t="s">
        <v>9</v>
      </c>
      <c r="E127" s="10" t="s">
        <v>11</v>
      </c>
      <c r="F127" s="10" t="s">
        <v>7</v>
      </c>
      <c r="G127" s="10" t="s">
        <v>44</v>
      </c>
      <c r="H127" s="10" t="s">
        <v>41</v>
      </c>
      <c r="I127" s="13">
        <v>0.4236111111111111</v>
      </c>
      <c r="J127" s="13">
        <v>0.7256944444444444</v>
      </c>
      <c r="K127" s="10">
        <v>30.0</v>
      </c>
      <c r="L127" s="13">
        <v>0.4861111111111111</v>
      </c>
      <c r="M127" s="13">
        <v>0.6875</v>
      </c>
      <c r="N127" s="10">
        <v>50.0</v>
      </c>
      <c r="O127" s="10">
        <v>1.0</v>
      </c>
      <c r="P127" s="10">
        <v>51.0</v>
      </c>
      <c r="Q127" s="14">
        <f t="shared" si="1"/>
        <v>46052</v>
      </c>
      <c r="R127" s="15">
        <f t="shared" si="2"/>
        <v>6.75</v>
      </c>
      <c r="S127" s="16">
        <f>IFERROR(__xludf.DUMMYFUNCTION("IFERROR( INDEX( FILTER( Reference!$F:$F, Reference!$A:$A = $E127, Reference!$E:$E = $D127, Reference!$C:$C = $Q127),1),""RATE_NOT_FOUND"")"),26.0)</f>
        <v>26</v>
      </c>
      <c r="T127" s="15">
        <f t="shared" si="3"/>
        <v>175.5</v>
      </c>
      <c r="U127" s="15">
        <f t="shared" si="4"/>
        <v>4</v>
      </c>
      <c r="V127" s="17">
        <f t="shared" si="5"/>
        <v>12.75</v>
      </c>
      <c r="W127" s="18" t="str">
        <f t="shared" si="6"/>
        <v>Saturday</v>
      </c>
      <c r="X127" s="18">
        <f t="shared" si="7"/>
        <v>0</v>
      </c>
      <c r="Y127" s="14">
        <f>IFERROR(__xludf.DUMMYFUNCTION("IFERROR( INDEX( FILTER(Reference!$D:$D, Reference!$A:$A=$E127, Reference!$C:$C=$Q127), 1),"""")"),46052.0)</f>
        <v>46052</v>
      </c>
      <c r="Z127" s="18">
        <f t="shared" si="8"/>
        <v>9.166666667</v>
      </c>
      <c r="AA127" s="18">
        <f>IF(Z127=0,0, IF(Z127&gt;=LOOKUP(Q127,MinHr_Weekly_Bonus!A:A,MinHr_Weekly_Bonus!B:B), LOOKUP(Q127,MinHr_Weekly_Bonus!A:A,MinHr_Weekly_Bonus!C:C), 0))</f>
        <v>0</v>
      </c>
      <c r="AB127" s="15">
        <f t="shared" si="9"/>
        <v>175.5</v>
      </c>
      <c r="AC127" s="18" t="str">
        <f t="shared" si="10"/>
        <v/>
      </c>
    </row>
    <row r="128">
      <c r="A128" s="10" t="s">
        <v>36</v>
      </c>
      <c r="B128" s="12">
        <v>46046.0</v>
      </c>
      <c r="C128" s="10" t="s">
        <v>74</v>
      </c>
      <c r="D128" s="10" t="s">
        <v>8</v>
      </c>
      <c r="E128" s="10" t="s">
        <v>11</v>
      </c>
      <c r="F128" s="10" t="s">
        <v>7</v>
      </c>
      <c r="G128" s="10" t="s">
        <v>44</v>
      </c>
      <c r="H128" s="10" t="s">
        <v>37</v>
      </c>
      <c r="I128" s="13">
        <v>0.3958333333333333</v>
      </c>
      <c r="J128" s="13">
        <v>0.78125</v>
      </c>
      <c r="K128" s="10">
        <v>30.0</v>
      </c>
      <c r="L128" s="13">
        <v>0.4895833333333333</v>
      </c>
      <c r="M128" s="13">
        <v>0.7291666666666666</v>
      </c>
      <c r="N128" s="10">
        <v>50.0</v>
      </c>
      <c r="O128" s="10">
        <v>1.0</v>
      </c>
      <c r="P128" s="10">
        <v>85.0</v>
      </c>
      <c r="Q128" s="14">
        <f t="shared" si="1"/>
        <v>46052</v>
      </c>
      <c r="R128" s="15">
        <f t="shared" si="2"/>
        <v>8.75</v>
      </c>
      <c r="S128" s="16">
        <f>IFERROR(__xludf.DUMMYFUNCTION("IFERROR( INDEX( FILTER( Reference!$F:$F, Reference!$A:$A = $E128, Reference!$E:$E = $D128, Reference!$C:$C = $Q128),1),""RATE_NOT_FOUND"")"),24.0)</f>
        <v>24</v>
      </c>
      <c r="T128" s="15">
        <f t="shared" si="3"/>
        <v>210</v>
      </c>
      <c r="U128" s="15">
        <f t="shared" si="4"/>
        <v>4.916666667</v>
      </c>
      <c r="V128" s="17">
        <f t="shared" si="5"/>
        <v>17.28813559</v>
      </c>
      <c r="W128" s="18" t="str">
        <f t="shared" si="6"/>
        <v>Saturday</v>
      </c>
      <c r="X128" s="18">
        <f t="shared" si="7"/>
        <v>0</v>
      </c>
      <c r="Y128" s="14">
        <f>IFERROR(__xludf.DUMMYFUNCTION("IFERROR( INDEX( FILTER(Reference!$D:$D, Reference!$A:$A=$E128, Reference!$C:$C=$Q128), 1),"""")"),46052.0)</f>
        <v>46052</v>
      </c>
      <c r="Z128" s="18">
        <f t="shared" si="8"/>
        <v>4.916666667</v>
      </c>
      <c r="AA128" s="18">
        <f>IF(Z128=0,0, IF(Z128&gt;=LOOKUP(Q128,MinHr_Weekly_Bonus!A:A,MinHr_Weekly_Bonus!B:B), LOOKUP(Q128,MinHr_Weekly_Bonus!A:A,MinHr_Weekly_Bonus!C:C), 0))</f>
        <v>0</v>
      </c>
      <c r="AB128" s="15">
        <f t="shared" si="9"/>
        <v>210</v>
      </c>
      <c r="AC128" s="18" t="str">
        <f t="shared" si="10"/>
        <v/>
      </c>
    </row>
    <row r="129">
      <c r="A129" s="10" t="s">
        <v>36</v>
      </c>
      <c r="B129" s="12">
        <v>46046.0</v>
      </c>
      <c r="C129" s="10" t="s">
        <v>68</v>
      </c>
      <c r="D129" s="10" t="s">
        <v>8</v>
      </c>
      <c r="E129" s="10" t="s">
        <v>11</v>
      </c>
      <c r="F129" s="10" t="s">
        <v>7</v>
      </c>
      <c r="G129" s="10" t="s">
        <v>44</v>
      </c>
      <c r="H129" s="10" t="s">
        <v>37</v>
      </c>
      <c r="I129" s="13">
        <v>0.4486111111111111</v>
      </c>
      <c r="J129" s="13">
        <v>0.7847222222222222</v>
      </c>
      <c r="K129" s="10">
        <v>30.0</v>
      </c>
      <c r="L129" s="13">
        <v>0.4895833333333333</v>
      </c>
      <c r="M129" s="13">
        <v>0.7291666666666666</v>
      </c>
      <c r="N129" s="10">
        <v>50.0</v>
      </c>
      <c r="O129" s="10">
        <v>1.0</v>
      </c>
      <c r="P129" s="10">
        <v>54.0</v>
      </c>
      <c r="Q129" s="14">
        <f t="shared" si="1"/>
        <v>46052</v>
      </c>
      <c r="R129" s="15">
        <f t="shared" si="2"/>
        <v>7.566666667</v>
      </c>
      <c r="S129" s="16">
        <f>IFERROR(__xludf.DUMMYFUNCTION("IFERROR( INDEX( FILTER( Reference!$F:$F, Reference!$A:$A = $E129, Reference!$E:$E = $D129, Reference!$C:$C = $Q129),1),""RATE_NOT_FOUND"")"),24.0)</f>
        <v>24</v>
      </c>
      <c r="T129" s="15">
        <f t="shared" si="3"/>
        <v>181.6</v>
      </c>
      <c r="U129" s="15">
        <f t="shared" si="4"/>
        <v>4.916666667</v>
      </c>
      <c r="V129" s="17">
        <f t="shared" si="5"/>
        <v>10.98305085</v>
      </c>
      <c r="W129" s="18" t="str">
        <f t="shared" si="6"/>
        <v>Saturday</v>
      </c>
      <c r="X129" s="18">
        <f t="shared" si="7"/>
        <v>0</v>
      </c>
      <c r="Y129" s="14">
        <f>IFERROR(__xludf.DUMMYFUNCTION("IFERROR( INDEX( FILTER(Reference!$D:$D, Reference!$A:$A=$E129, Reference!$C:$C=$Q129), 1),"""")"),46052.0)</f>
        <v>46052</v>
      </c>
      <c r="Z129" s="18">
        <f t="shared" si="8"/>
        <v>26</v>
      </c>
      <c r="AA129" s="18">
        <f>IF(Z129=0,0, IF(Z129&gt;=LOOKUP(Q129,MinHr_Weekly_Bonus!A:A,MinHr_Weekly_Bonus!B:B), LOOKUP(Q129,MinHr_Weekly_Bonus!A:A,MinHr_Weekly_Bonus!C:C), 0))</f>
        <v>150</v>
      </c>
      <c r="AB129" s="15">
        <f t="shared" si="9"/>
        <v>181.6</v>
      </c>
      <c r="AC129" s="18" t="str">
        <f t="shared" si="10"/>
        <v/>
      </c>
    </row>
    <row r="130">
      <c r="A130" s="10" t="s">
        <v>36</v>
      </c>
      <c r="B130" s="12">
        <v>46046.0</v>
      </c>
      <c r="C130" s="10" t="s">
        <v>63</v>
      </c>
      <c r="D130" s="10" t="s">
        <v>8</v>
      </c>
      <c r="E130" s="10" t="s">
        <v>11</v>
      </c>
      <c r="F130" s="10" t="s">
        <v>7</v>
      </c>
      <c r="G130" s="10" t="s">
        <v>44</v>
      </c>
      <c r="H130" s="10" t="s">
        <v>37</v>
      </c>
      <c r="I130" s="13">
        <v>0.4479166666666667</v>
      </c>
      <c r="J130" s="13">
        <v>0.7763888888888889</v>
      </c>
      <c r="K130" s="10">
        <v>30.0</v>
      </c>
      <c r="L130" s="13">
        <v>0.4895833333333333</v>
      </c>
      <c r="M130" s="13">
        <v>0.7291666666666666</v>
      </c>
      <c r="N130" s="10">
        <v>50.0</v>
      </c>
      <c r="O130" s="10">
        <v>1.0</v>
      </c>
      <c r="P130" s="10">
        <v>62.0</v>
      </c>
      <c r="Q130" s="14">
        <f t="shared" si="1"/>
        <v>46052</v>
      </c>
      <c r="R130" s="15">
        <f t="shared" si="2"/>
        <v>7.383333333</v>
      </c>
      <c r="S130" s="16">
        <f>IFERROR(__xludf.DUMMYFUNCTION("IFERROR( INDEX( FILTER( Reference!$F:$F, Reference!$A:$A = $E130, Reference!$E:$E = $D130, Reference!$C:$C = $Q130),1),""RATE_NOT_FOUND"")"),24.0)</f>
        <v>24</v>
      </c>
      <c r="T130" s="15">
        <f t="shared" si="3"/>
        <v>177.2</v>
      </c>
      <c r="U130" s="15">
        <f t="shared" si="4"/>
        <v>4.916666667</v>
      </c>
      <c r="V130" s="17">
        <f t="shared" si="5"/>
        <v>12.61016949</v>
      </c>
      <c r="W130" s="18" t="str">
        <f t="shared" si="6"/>
        <v>Saturday</v>
      </c>
      <c r="X130" s="18">
        <f t="shared" si="7"/>
        <v>0</v>
      </c>
      <c r="Y130" s="14">
        <f>IFERROR(__xludf.DUMMYFUNCTION("IFERROR( INDEX( FILTER(Reference!$D:$D, Reference!$A:$A=$E130, Reference!$C:$C=$Q130), 1),"""")"),46052.0)</f>
        <v>46052</v>
      </c>
      <c r="Z130" s="18">
        <f t="shared" si="8"/>
        <v>19.58333333</v>
      </c>
      <c r="AA130" s="18">
        <f>IF(Z130=0,0, IF(Z130&gt;=LOOKUP(Q130,MinHr_Weekly_Bonus!A:A,MinHr_Weekly_Bonus!B:B), LOOKUP(Q130,MinHr_Weekly_Bonus!A:A,MinHr_Weekly_Bonus!C:C), 0))</f>
        <v>0</v>
      </c>
      <c r="AB130" s="15">
        <f t="shared" si="9"/>
        <v>177.2</v>
      </c>
      <c r="AC130" s="18" t="str">
        <f t="shared" si="10"/>
        <v/>
      </c>
    </row>
    <row r="131">
      <c r="A131" s="10" t="s">
        <v>36</v>
      </c>
      <c r="B131" s="12">
        <v>46046.0</v>
      </c>
      <c r="C131" s="10" t="s">
        <v>37</v>
      </c>
      <c r="D131" s="10" t="s">
        <v>9</v>
      </c>
      <c r="E131" s="10" t="s">
        <v>11</v>
      </c>
      <c r="F131" s="10" t="s">
        <v>7</v>
      </c>
      <c r="G131" s="10" t="s">
        <v>44</v>
      </c>
      <c r="H131" s="10" t="s">
        <v>37</v>
      </c>
      <c r="I131" s="13">
        <v>0.4236111111111111</v>
      </c>
      <c r="J131" s="13">
        <v>0.7944444444444444</v>
      </c>
      <c r="K131" s="10">
        <v>30.0</v>
      </c>
      <c r="L131" s="13">
        <v>0.4861111111111111</v>
      </c>
      <c r="M131" s="13">
        <v>0.7291666666666666</v>
      </c>
      <c r="N131" s="10">
        <v>50.0</v>
      </c>
      <c r="O131" s="10">
        <v>1.0</v>
      </c>
      <c r="P131" s="10">
        <v>116.0</v>
      </c>
      <c r="Q131" s="14">
        <f t="shared" si="1"/>
        <v>46052</v>
      </c>
      <c r="R131" s="15">
        <f t="shared" si="2"/>
        <v>8.4</v>
      </c>
      <c r="S131" s="16">
        <f>IFERROR(__xludf.DUMMYFUNCTION("IFERROR( INDEX( FILTER( Reference!$F:$F, Reference!$A:$A = $E131, Reference!$E:$E = $D131, Reference!$C:$C = $Q131),1),""RATE_NOT_FOUND"")"),26.0)</f>
        <v>26</v>
      </c>
      <c r="T131" s="15">
        <f t="shared" si="3"/>
        <v>218.4</v>
      </c>
      <c r="U131" s="15">
        <f t="shared" si="4"/>
        <v>5</v>
      </c>
      <c r="V131" s="17">
        <f t="shared" si="5"/>
        <v>23.2</v>
      </c>
      <c r="W131" s="18" t="str">
        <f t="shared" si="6"/>
        <v>Saturday</v>
      </c>
      <c r="X131" s="18">
        <f t="shared" si="7"/>
        <v>50</v>
      </c>
      <c r="Y131" s="14">
        <f>IFERROR(__xludf.DUMMYFUNCTION("IFERROR( INDEX( FILTER(Reference!$D:$D, Reference!$A:$A=$E131, Reference!$C:$C=$Q131), 1),"""")"),46052.0)</f>
        <v>46052</v>
      </c>
      <c r="Z131" s="18">
        <f t="shared" si="8"/>
        <v>25.83333333</v>
      </c>
      <c r="AA131" s="18">
        <f>IF(Z131=0,0, IF(Z131&gt;=LOOKUP(Q131,MinHr_Weekly_Bonus!A:A,MinHr_Weekly_Bonus!B:B), LOOKUP(Q131,MinHr_Weekly_Bonus!A:A,MinHr_Weekly_Bonus!C:C), 0))</f>
        <v>150</v>
      </c>
      <c r="AB131" s="15">
        <f t="shared" si="9"/>
        <v>268.4</v>
      </c>
      <c r="AC131" s="18" t="str">
        <f t="shared" si="10"/>
        <v/>
      </c>
    </row>
    <row r="132">
      <c r="A132" s="10" t="s">
        <v>36</v>
      </c>
      <c r="B132" s="12">
        <v>46047.0</v>
      </c>
      <c r="C132" s="10" t="s">
        <v>46</v>
      </c>
      <c r="D132" s="10" t="s">
        <v>8</v>
      </c>
      <c r="E132" s="10" t="s">
        <v>11</v>
      </c>
      <c r="F132" s="10" t="s">
        <v>7</v>
      </c>
      <c r="G132" s="10" t="s">
        <v>44</v>
      </c>
      <c r="H132" s="10" t="s">
        <v>47</v>
      </c>
      <c r="I132" s="13">
        <v>0.35625</v>
      </c>
      <c r="J132" s="13">
        <v>0.6715277777777777</v>
      </c>
      <c r="K132" s="10">
        <v>30.0</v>
      </c>
      <c r="L132" s="13">
        <v>0.3819444444444444</v>
      </c>
      <c r="M132" s="13">
        <v>0.6354166666666666</v>
      </c>
      <c r="N132" s="10">
        <v>50.0</v>
      </c>
      <c r="O132" s="10">
        <v>1.0</v>
      </c>
      <c r="P132" s="10">
        <v>98.0</v>
      </c>
      <c r="Q132" s="14">
        <f t="shared" si="1"/>
        <v>46052</v>
      </c>
      <c r="R132" s="15">
        <f t="shared" si="2"/>
        <v>7.066666667</v>
      </c>
      <c r="S132" s="16">
        <f>IFERROR(__xludf.DUMMYFUNCTION("IFERROR( INDEX( FILTER( Reference!$F:$F, Reference!$A:$A = $E132, Reference!$E:$E = $D132, Reference!$C:$C = $Q132),1),""RATE_NOT_FOUND"")"),24.0)</f>
        <v>24</v>
      </c>
      <c r="T132" s="15">
        <f t="shared" si="3"/>
        <v>169.6</v>
      </c>
      <c r="U132" s="15">
        <f t="shared" si="4"/>
        <v>5.25</v>
      </c>
      <c r="V132" s="17">
        <f t="shared" si="5"/>
        <v>18.66666667</v>
      </c>
      <c r="W132" s="18" t="str">
        <f t="shared" si="6"/>
        <v>Sunday</v>
      </c>
      <c r="X132" s="18">
        <f t="shared" si="7"/>
        <v>0</v>
      </c>
      <c r="Y132" s="14">
        <f>IFERROR(__xludf.DUMMYFUNCTION("IFERROR( INDEX( FILTER(Reference!$D:$D, Reference!$A:$A=$E132, Reference!$C:$C=$Q132), 1),"""")"),46052.0)</f>
        <v>46052</v>
      </c>
      <c r="Z132" s="18">
        <f t="shared" si="8"/>
        <v>10.18333333</v>
      </c>
      <c r="AA132" s="18">
        <f>IF(Z132=0,0, IF(Z132&gt;=LOOKUP(Q132,MinHr_Weekly_Bonus!A:A,MinHr_Weekly_Bonus!B:B), LOOKUP(Q132,MinHr_Weekly_Bonus!A:A,MinHr_Weekly_Bonus!C:C), 0))</f>
        <v>0</v>
      </c>
      <c r="AB132" s="15">
        <f t="shared" si="9"/>
        <v>169.6</v>
      </c>
      <c r="AC132" s="18" t="str">
        <f t="shared" si="10"/>
        <v/>
      </c>
    </row>
    <row r="133">
      <c r="A133" s="10" t="s">
        <v>36</v>
      </c>
      <c r="B133" s="12">
        <v>46047.0</v>
      </c>
      <c r="C133" s="10" t="s">
        <v>68</v>
      </c>
      <c r="D133" s="10" t="s">
        <v>8</v>
      </c>
      <c r="E133" s="10" t="s">
        <v>11</v>
      </c>
      <c r="F133" s="10" t="s">
        <v>7</v>
      </c>
      <c r="G133" s="10" t="s">
        <v>44</v>
      </c>
      <c r="H133" s="10" t="s">
        <v>47</v>
      </c>
      <c r="I133" s="13">
        <v>0.3541666666666667</v>
      </c>
      <c r="J133" s="13">
        <v>0.6791666666666667</v>
      </c>
      <c r="K133" s="10">
        <v>30.0</v>
      </c>
      <c r="L133" s="13">
        <v>0.3819444444444444</v>
      </c>
      <c r="M133" s="13">
        <v>0.6354166666666666</v>
      </c>
      <c r="N133" s="10">
        <v>50.0</v>
      </c>
      <c r="O133" s="10">
        <v>1.0</v>
      </c>
      <c r="P133" s="10">
        <v>96.0</v>
      </c>
      <c r="Q133" s="14">
        <f t="shared" si="1"/>
        <v>46052</v>
      </c>
      <c r="R133" s="15">
        <f t="shared" si="2"/>
        <v>7.3</v>
      </c>
      <c r="S133" s="16">
        <f>IFERROR(__xludf.DUMMYFUNCTION("IFERROR( INDEX( FILTER( Reference!$F:$F, Reference!$A:$A = $E133, Reference!$E:$E = $D133, Reference!$C:$C = $Q133),1),""RATE_NOT_FOUND"")"),24.0)</f>
        <v>24</v>
      </c>
      <c r="T133" s="15">
        <f t="shared" si="3"/>
        <v>175.2</v>
      </c>
      <c r="U133" s="15">
        <f t="shared" si="4"/>
        <v>5.25</v>
      </c>
      <c r="V133" s="17">
        <f t="shared" si="5"/>
        <v>18.28571429</v>
      </c>
      <c r="W133" s="18" t="str">
        <f t="shared" si="6"/>
        <v>Sunday</v>
      </c>
      <c r="X133" s="18">
        <f t="shared" si="7"/>
        <v>0</v>
      </c>
      <c r="Y133" s="14">
        <f>IFERROR(__xludf.DUMMYFUNCTION("IFERROR( INDEX( FILTER(Reference!$D:$D, Reference!$A:$A=$E133, Reference!$C:$C=$Q133), 1),"""")"),46052.0)</f>
        <v>46052</v>
      </c>
      <c r="Z133" s="18">
        <f t="shared" si="8"/>
        <v>26</v>
      </c>
      <c r="AA133" s="18">
        <f>IF(Z133=0,0, IF(Z133&gt;=LOOKUP(Q133,MinHr_Weekly_Bonus!A:A,MinHr_Weekly_Bonus!B:B), LOOKUP(Q133,MinHr_Weekly_Bonus!A:A,MinHr_Weekly_Bonus!C:C), 0))</f>
        <v>150</v>
      </c>
      <c r="AB133" s="15">
        <f t="shared" si="9"/>
        <v>175.2</v>
      </c>
      <c r="AC133" s="18" t="str">
        <f t="shared" si="10"/>
        <v/>
      </c>
    </row>
    <row r="134">
      <c r="A134" s="10" t="s">
        <v>36</v>
      </c>
      <c r="B134" s="12">
        <v>46047.0</v>
      </c>
      <c r="C134" s="10" t="s">
        <v>47</v>
      </c>
      <c r="D134" s="10" t="s">
        <v>9</v>
      </c>
      <c r="E134" s="10" t="s">
        <v>11</v>
      </c>
      <c r="F134" s="10" t="s">
        <v>7</v>
      </c>
      <c r="G134" s="10" t="s">
        <v>44</v>
      </c>
      <c r="H134" s="10" t="s">
        <v>47</v>
      </c>
      <c r="I134" s="13">
        <v>0.4236111111111111</v>
      </c>
      <c r="J134" s="13">
        <v>0.7763888888888889</v>
      </c>
      <c r="K134" s="10">
        <v>30.0</v>
      </c>
      <c r="L134" s="13">
        <v>0.4722222222222222</v>
      </c>
      <c r="M134" s="13">
        <v>0.7354166666666667</v>
      </c>
      <c r="N134" s="10">
        <v>75.0</v>
      </c>
      <c r="O134" s="10">
        <v>1.0</v>
      </c>
      <c r="P134" s="10">
        <v>67.0</v>
      </c>
      <c r="Q134" s="14">
        <f t="shared" si="1"/>
        <v>46052</v>
      </c>
      <c r="R134" s="15">
        <f t="shared" si="2"/>
        <v>7.966666667</v>
      </c>
      <c r="S134" s="16">
        <f>IFERROR(__xludf.DUMMYFUNCTION("IFERROR( INDEX( FILTER( Reference!$F:$F, Reference!$A:$A = $E134, Reference!$E:$E = $D134, Reference!$C:$C = $Q134),1),""RATE_NOT_FOUND"")"),26.0)</f>
        <v>26</v>
      </c>
      <c r="T134" s="15">
        <f t="shared" si="3"/>
        <v>207.1333333</v>
      </c>
      <c r="U134" s="15">
        <f t="shared" si="4"/>
        <v>5.066666667</v>
      </c>
      <c r="V134" s="17">
        <f t="shared" si="5"/>
        <v>13.22368421</v>
      </c>
      <c r="W134" s="18" t="str">
        <f t="shared" si="6"/>
        <v>Sunday</v>
      </c>
      <c r="X134" s="18">
        <f t="shared" si="7"/>
        <v>0</v>
      </c>
      <c r="Y134" s="14">
        <f>IFERROR(__xludf.DUMMYFUNCTION("IFERROR( INDEX( FILTER(Reference!$D:$D, Reference!$A:$A=$E134, Reference!$C:$C=$Q134), 1),"""")"),46052.0)</f>
        <v>46052</v>
      </c>
      <c r="Z134" s="18">
        <f t="shared" si="8"/>
        <v>22.65</v>
      </c>
      <c r="AA134" s="18">
        <f>IF(Z134=0,0, IF(Z134&gt;=LOOKUP(Q134,MinHr_Weekly_Bonus!A:A,MinHr_Weekly_Bonus!B:B), LOOKUP(Q134,MinHr_Weekly_Bonus!A:A,MinHr_Weekly_Bonus!C:C), 0))</f>
        <v>0</v>
      </c>
      <c r="AB134" s="15">
        <f t="shared" si="9"/>
        <v>207.1333333</v>
      </c>
      <c r="AC134" s="18" t="str">
        <f t="shared" si="10"/>
        <v/>
      </c>
    </row>
    <row r="135">
      <c r="A135" s="10" t="s">
        <v>36</v>
      </c>
      <c r="B135" s="12">
        <v>46047.0</v>
      </c>
      <c r="C135" s="10" t="s">
        <v>54</v>
      </c>
      <c r="D135" s="10" t="s">
        <v>8</v>
      </c>
      <c r="E135" s="10" t="s">
        <v>6</v>
      </c>
      <c r="F135" s="10" t="s">
        <v>7</v>
      </c>
      <c r="G135" s="10" t="s">
        <v>44</v>
      </c>
      <c r="H135" s="10" t="s">
        <v>39</v>
      </c>
      <c r="I135" s="13">
        <v>0.44722222222222224</v>
      </c>
      <c r="J135" s="13">
        <v>0.7631944444444444</v>
      </c>
      <c r="K135" s="10">
        <v>30.0</v>
      </c>
      <c r="L135" s="13">
        <v>0.4722222222222222</v>
      </c>
      <c r="M135" s="13">
        <v>0.7354166666666667</v>
      </c>
      <c r="N135" s="10">
        <v>75.0</v>
      </c>
      <c r="O135" s="10">
        <v>1.0</v>
      </c>
      <c r="P135" s="10">
        <v>69.0</v>
      </c>
      <c r="Q135" s="14">
        <f t="shared" si="1"/>
        <v>46052</v>
      </c>
      <c r="R135" s="15">
        <f t="shared" si="2"/>
        <v>7.083333333</v>
      </c>
      <c r="S135" s="16">
        <f>IFERROR(__xludf.DUMMYFUNCTION("IFERROR( INDEX( FILTER( Reference!$F:$F, Reference!$A:$A = $E135, Reference!$E:$E = $D135, Reference!$C:$C = $Q135),1),""RATE_NOT_FOUND"")"),24.0)</f>
        <v>24</v>
      </c>
      <c r="T135" s="15">
        <f t="shared" si="3"/>
        <v>170</v>
      </c>
      <c r="U135" s="15">
        <f t="shared" si="4"/>
        <v>5.066666667</v>
      </c>
      <c r="V135" s="17">
        <f t="shared" si="5"/>
        <v>13.61842105</v>
      </c>
      <c r="W135" s="18" t="str">
        <f t="shared" si="6"/>
        <v>Sunday</v>
      </c>
      <c r="X135" s="18">
        <f t="shared" si="7"/>
        <v>0</v>
      </c>
      <c r="Y135" s="14">
        <f>IFERROR(__xludf.DUMMYFUNCTION("IFERROR( INDEX( FILTER(Reference!$D:$D, Reference!$A:$A=$E135, Reference!$C:$C=$Q135), 1),"""")"),46052.0)</f>
        <v>46052</v>
      </c>
      <c r="Z135" s="18">
        <f t="shared" si="8"/>
        <v>15.4</v>
      </c>
      <c r="AA135" s="18">
        <f>IF(Z135=0,0, IF(Z135&gt;=LOOKUP(Q135,MinHr_Weekly_Bonus!A:A,MinHr_Weekly_Bonus!B:B), LOOKUP(Q135,MinHr_Weekly_Bonus!A:A,MinHr_Weekly_Bonus!C:C), 0))</f>
        <v>0</v>
      </c>
      <c r="AB135" s="15">
        <f t="shared" si="9"/>
        <v>170</v>
      </c>
      <c r="AC135" s="18" t="str">
        <f t="shared" si="10"/>
        <v/>
      </c>
    </row>
    <row r="136">
      <c r="A136" s="10" t="s">
        <v>36</v>
      </c>
      <c r="B136" s="12">
        <v>46047.0</v>
      </c>
      <c r="C136" s="10" t="s">
        <v>39</v>
      </c>
      <c r="D136" s="10" t="s">
        <v>9</v>
      </c>
      <c r="E136" s="10" t="s">
        <v>6</v>
      </c>
      <c r="F136" s="10" t="s">
        <v>7</v>
      </c>
      <c r="G136" s="10" t="s">
        <v>44</v>
      </c>
      <c r="H136" s="10" t="s">
        <v>39</v>
      </c>
      <c r="I136" s="13">
        <v>0.3541666666666667</v>
      </c>
      <c r="J136" s="13">
        <v>0.6701388888888888</v>
      </c>
      <c r="K136" s="10">
        <v>30.0</v>
      </c>
      <c r="L136" s="13">
        <v>0.3923611111111111</v>
      </c>
      <c r="M136" s="13">
        <v>0.6458333333333334</v>
      </c>
      <c r="N136" s="10">
        <v>60.0</v>
      </c>
      <c r="O136" s="10">
        <v>1.0</v>
      </c>
      <c r="P136" s="10">
        <v>114.0</v>
      </c>
      <c r="Q136" s="14">
        <f t="shared" si="1"/>
        <v>46052</v>
      </c>
      <c r="R136" s="15">
        <f t="shared" si="2"/>
        <v>7.083333333</v>
      </c>
      <c r="S136" s="16">
        <f>IFERROR(__xludf.DUMMYFUNCTION("IFERROR( INDEX( FILTER( Reference!$F:$F, Reference!$A:$A = $E136, Reference!$E:$E = $D136, Reference!$C:$C = $Q136),1),""RATE_NOT_FOUND"")"),27.0)</f>
        <v>27</v>
      </c>
      <c r="T136" s="15">
        <f t="shared" si="3"/>
        <v>191.25</v>
      </c>
      <c r="U136" s="15">
        <f t="shared" si="4"/>
        <v>5.083333333</v>
      </c>
      <c r="V136" s="17">
        <f t="shared" si="5"/>
        <v>22.42622951</v>
      </c>
      <c r="W136" s="18" t="str">
        <f t="shared" si="6"/>
        <v>Sunday</v>
      </c>
      <c r="X136" s="18">
        <f t="shared" si="7"/>
        <v>0</v>
      </c>
      <c r="Y136" s="14">
        <f>IFERROR(__xludf.DUMMYFUNCTION("IFERROR( INDEX( FILTER(Reference!$D:$D, Reference!$A:$A=$E136, Reference!$C:$C=$Q136), 1),"""")"),46052.0)</f>
        <v>46052</v>
      </c>
      <c r="Z136" s="18">
        <f t="shared" si="8"/>
        <v>14.66666667</v>
      </c>
      <c r="AA136" s="18">
        <f>IF(Z136=0,0, IF(Z136&gt;=LOOKUP(Q136,MinHr_Weekly_Bonus!A:A,MinHr_Weekly_Bonus!B:B), LOOKUP(Q136,MinHr_Weekly_Bonus!A:A,MinHr_Weekly_Bonus!C:C), 0))</f>
        <v>0</v>
      </c>
      <c r="AB136" s="15">
        <f t="shared" si="9"/>
        <v>191.25</v>
      </c>
      <c r="AC136" s="18" t="str">
        <f t="shared" si="10"/>
        <v/>
      </c>
    </row>
    <row r="137">
      <c r="A137" s="10" t="s">
        <v>36</v>
      </c>
      <c r="B137" s="12">
        <v>46047.0</v>
      </c>
      <c r="C137" s="10" t="s">
        <v>62</v>
      </c>
      <c r="D137" s="10" t="s">
        <v>8</v>
      </c>
      <c r="E137" s="10" t="s">
        <v>6</v>
      </c>
      <c r="F137" s="10" t="s">
        <v>7</v>
      </c>
      <c r="G137" s="10" t="s">
        <v>44</v>
      </c>
      <c r="H137" s="10" t="s">
        <v>39</v>
      </c>
      <c r="I137" s="13">
        <v>0.35694444444444445</v>
      </c>
      <c r="J137" s="13">
        <v>0.6805555555555556</v>
      </c>
      <c r="K137" s="10">
        <v>30.0</v>
      </c>
      <c r="L137" s="13">
        <v>0.3909722222222222</v>
      </c>
      <c r="M137" s="13">
        <v>0.6458333333333334</v>
      </c>
      <c r="N137" s="10">
        <v>50.0</v>
      </c>
      <c r="O137" s="10">
        <v>1.0</v>
      </c>
      <c r="P137" s="10">
        <v>59.0</v>
      </c>
      <c r="Q137" s="14">
        <f t="shared" si="1"/>
        <v>46052</v>
      </c>
      <c r="R137" s="15">
        <f t="shared" si="2"/>
        <v>7.266666667</v>
      </c>
      <c r="S137" s="16">
        <f>IFERROR(__xludf.DUMMYFUNCTION("IFERROR( INDEX( FILTER( Reference!$F:$F, Reference!$A:$A = $E137, Reference!$E:$E = $D137, Reference!$C:$C = $Q137),1),""RATE_NOT_FOUND"")"),24.0)</f>
        <v>24</v>
      </c>
      <c r="T137" s="15">
        <f t="shared" si="3"/>
        <v>174.4</v>
      </c>
      <c r="U137" s="15">
        <f t="shared" si="4"/>
        <v>5.283333333</v>
      </c>
      <c r="V137" s="17">
        <f t="shared" si="5"/>
        <v>11.16719243</v>
      </c>
      <c r="W137" s="18" t="str">
        <f t="shared" si="6"/>
        <v>Sunday</v>
      </c>
      <c r="X137" s="18">
        <f t="shared" si="7"/>
        <v>0</v>
      </c>
      <c r="Y137" s="14">
        <f>IFERROR(__xludf.DUMMYFUNCTION("IFERROR( INDEX( FILTER(Reference!$D:$D, Reference!$A:$A=$E137, Reference!$C:$C=$Q137), 1),"""")"),46052.0)</f>
        <v>46052</v>
      </c>
      <c r="Z137" s="18">
        <f t="shared" si="8"/>
        <v>20.2</v>
      </c>
      <c r="AA137" s="18">
        <f>IF(Z137=0,0, IF(Z137&gt;=LOOKUP(Q137,MinHr_Weekly_Bonus!A:A,MinHr_Weekly_Bonus!B:B), LOOKUP(Q137,MinHr_Weekly_Bonus!A:A,MinHr_Weekly_Bonus!C:C), 0))</f>
        <v>0</v>
      </c>
      <c r="AB137" s="15">
        <f t="shared" si="9"/>
        <v>174.4</v>
      </c>
      <c r="AC137" s="18" t="str">
        <f t="shared" si="10"/>
        <v/>
      </c>
    </row>
    <row r="138">
      <c r="A138" s="10" t="s">
        <v>36</v>
      </c>
      <c r="B138" s="12">
        <v>46047.0</v>
      </c>
      <c r="C138" s="10" t="s">
        <v>52</v>
      </c>
      <c r="D138" s="10" t="s">
        <v>8</v>
      </c>
      <c r="E138" s="10" t="s">
        <v>6</v>
      </c>
      <c r="F138" s="10" t="s">
        <v>7</v>
      </c>
      <c r="G138" s="10" t="s">
        <v>44</v>
      </c>
      <c r="H138" s="10" t="s">
        <v>39</v>
      </c>
      <c r="I138" s="13">
        <v>0.4576388888888889</v>
      </c>
      <c r="J138" s="13">
        <v>0.7763888888888889</v>
      </c>
      <c r="K138" s="10">
        <v>30.0</v>
      </c>
      <c r="L138" s="13">
        <v>0.4756944444444444</v>
      </c>
      <c r="M138" s="13">
        <v>0.7291666666666666</v>
      </c>
      <c r="N138" s="10">
        <v>50.0</v>
      </c>
      <c r="O138" s="10">
        <v>1.0</v>
      </c>
      <c r="P138" s="10">
        <v>116.0</v>
      </c>
      <c r="Q138" s="14">
        <f t="shared" si="1"/>
        <v>46052</v>
      </c>
      <c r="R138" s="15">
        <f t="shared" si="2"/>
        <v>7.15</v>
      </c>
      <c r="S138" s="16">
        <f>IFERROR(__xludf.DUMMYFUNCTION("IFERROR( INDEX( FILTER( Reference!$F:$F, Reference!$A:$A = $E138, Reference!$E:$E = $D138, Reference!$C:$C = $Q138),1),""RATE_NOT_FOUND"")"),24.0)</f>
        <v>24</v>
      </c>
      <c r="T138" s="15">
        <f t="shared" si="3"/>
        <v>171.6</v>
      </c>
      <c r="U138" s="15">
        <f t="shared" si="4"/>
        <v>5.25</v>
      </c>
      <c r="V138" s="17">
        <f t="shared" si="5"/>
        <v>22.0952381</v>
      </c>
      <c r="W138" s="18" t="str">
        <f t="shared" si="6"/>
        <v>Sunday</v>
      </c>
      <c r="X138" s="18">
        <f t="shared" si="7"/>
        <v>0</v>
      </c>
      <c r="Y138" s="14">
        <f>IFERROR(__xludf.DUMMYFUNCTION("IFERROR( INDEX( FILTER(Reference!$D:$D, Reference!$A:$A=$E138, Reference!$C:$C=$Q138), 1),"""")"),46052.0)</f>
        <v>46052</v>
      </c>
      <c r="Z138" s="18">
        <f t="shared" si="8"/>
        <v>10.66666667</v>
      </c>
      <c r="AA138" s="18">
        <f>IF(Z138=0,0, IF(Z138&gt;=LOOKUP(Q138,MinHr_Weekly_Bonus!A:A,MinHr_Weekly_Bonus!B:B), LOOKUP(Q138,MinHr_Weekly_Bonus!A:A,MinHr_Weekly_Bonus!C:C), 0))</f>
        <v>0</v>
      </c>
      <c r="AB138" s="15">
        <f t="shared" si="9"/>
        <v>171.6</v>
      </c>
      <c r="AC138" s="18" t="str">
        <f t="shared" si="10"/>
        <v/>
      </c>
    </row>
    <row r="139">
      <c r="A139" s="10" t="s">
        <v>36</v>
      </c>
      <c r="B139" s="12">
        <v>46047.0</v>
      </c>
      <c r="C139" s="10" t="s">
        <v>70</v>
      </c>
      <c r="D139" s="10" t="s">
        <v>8</v>
      </c>
      <c r="E139" s="10" t="s">
        <v>11</v>
      </c>
      <c r="F139" s="10" t="s">
        <v>7</v>
      </c>
      <c r="G139" s="10" t="s">
        <v>44</v>
      </c>
      <c r="H139" s="10" t="s">
        <v>47</v>
      </c>
      <c r="I139" s="13">
        <v>0.4534722222222222</v>
      </c>
      <c r="J139" s="13">
        <v>0.7777777777777778</v>
      </c>
      <c r="K139" s="10">
        <v>30.0</v>
      </c>
      <c r="L139" s="13">
        <v>0.4791666666666667</v>
      </c>
      <c r="M139" s="13">
        <v>0.7291666666666666</v>
      </c>
      <c r="N139" s="10">
        <v>50.0</v>
      </c>
      <c r="O139" s="10">
        <v>1.0</v>
      </c>
      <c r="P139" s="10">
        <v>107.0</v>
      </c>
      <c r="Q139" s="14">
        <f t="shared" si="1"/>
        <v>46052</v>
      </c>
      <c r="R139" s="15">
        <f t="shared" si="2"/>
        <v>7.283333333</v>
      </c>
      <c r="S139" s="16">
        <f>IFERROR(__xludf.DUMMYFUNCTION("IFERROR( INDEX( FILTER( Reference!$F:$F, Reference!$A:$A = $E139, Reference!$E:$E = $D139, Reference!$C:$C = $Q139),1),""RATE_NOT_FOUND"")"),24.0)</f>
        <v>24</v>
      </c>
      <c r="T139" s="15">
        <f t="shared" si="3"/>
        <v>174.8</v>
      </c>
      <c r="U139" s="15">
        <f t="shared" si="4"/>
        <v>5.166666667</v>
      </c>
      <c r="V139" s="17">
        <f t="shared" si="5"/>
        <v>20.70967742</v>
      </c>
      <c r="W139" s="18" t="str">
        <f t="shared" si="6"/>
        <v>Sunday</v>
      </c>
      <c r="X139" s="18">
        <f t="shared" si="7"/>
        <v>0</v>
      </c>
      <c r="Y139" s="14">
        <f>IFERROR(__xludf.DUMMYFUNCTION("IFERROR( INDEX( FILTER(Reference!$D:$D, Reference!$A:$A=$E139, Reference!$C:$C=$Q139), 1),"""")"),46052.0)</f>
        <v>46052</v>
      </c>
      <c r="Z139" s="18">
        <f t="shared" si="8"/>
        <v>19.85</v>
      </c>
      <c r="AA139" s="18">
        <f>IF(Z139=0,0, IF(Z139&gt;=LOOKUP(Q139,MinHr_Weekly_Bonus!A:A,MinHr_Weekly_Bonus!B:B), LOOKUP(Q139,MinHr_Weekly_Bonus!A:A,MinHr_Weekly_Bonus!C:C), 0))</f>
        <v>0</v>
      </c>
      <c r="AB139" s="15">
        <f t="shared" si="9"/>
        <v>174.8</v>
      </c>
      <c r="AC139" s="18" t="str">
        <f t="shared" si="10"/>
        <v/>
      </c>
    </row>
    <row r="140">
      <c r="A140" s="10" t="s">
        <v>36</v>
      </c>
      <c r="B140" s="12">
        <v>46047.0</v>
      </c>
      <c r="C140" s="10" t="s">
        <v>73</v>
      </c>
      <c r="D140" s="10" t="s">
        <v>8</v>
      </c>
      <c r="E140" s="10" t="s">
        <v>11</v>
      </c>
      <c r="F140" s="10" t="s">
        <v>7</v>
      </c>
      <c r="G140" s="10" t="s">
        <v>44</v>
      </c>
      <c r="H140" s="10" t="s">
        <v>47</v>
      </c>
      <c r="I140" s="13">
        <v>0.45208333333333334</v>
      </c>
      <c r="J140" s="13">
        <v>0.7506944444444444</v>
      </c>
      <c r="K140" s="10">
        <v>30.0</v>
      </c>
      <c r="L140" s="13">
        <v>0.4756944444444444</v>
      </c>
      <c r="M140" s="13">
        <v>0.7291666666666666</v>
      </c>
      <c r="N140" s="10">
        <v>50.0</v>
      </c>
      <c r="O140" s="10">
        <v>1.0</v>
      </c>
      <c r="P140" s="10">
        <v>63.0</v>
      </c>
      <c r="Q140" s="14">
        <f t="shared" si="1"/>
        <v>46052</v>
      </c>
      <c r="R140" s="15">
        <f t="shared" si="2"/>
        <v>6.666666667</v>
      </c>
      <c r="S140" s="16">
        <f>IFERROR(__xludf.DUMMYFUNCTION("IFERROR( INDEX( FILTER( Reference!$F:$F, Reference!$A:$A = $E140, Reference!$E:$E = $D140, Reference!$C:$C = $Q140),1),""RATE_NOT_FOUND"")"),24.0)</f>
        <v>24</v>
      </c>
      <c r="T140" s="15">
        <f t="shared" si="3"/>
        <v>160</v>
      </c>
      <c r="U140" s="15">
        <f t="shared" si="4"/>
        <v>5.25</v>
      </c>
      <c r="V140" s="17">
        <f t="shared" si="5"/>
        <v>12</v>
      </c>
      <c r="W140" s="18" t="str">
        <f t="shared" si="6"/>
        <v>Sunday</v>
      </c>
      <c r="X140" s="18">
        <f t="shared" si="7"/>
        <v>0</v>
      </c>
      <c r="Y140" s="14">
        <f>IFERROR(__xludf.DUMMYFUNCTION("IFERROR( INDEX( FILTER(Reference!$D:$D, Reference!$A:$A=$E140, Reference!$C:$C=$Q140), 1),"""")"),46052.0)</f>
        <v>46052</v>
      </c>
      <c r="Z140" s="18">
        <f t="shared" si="8"/>
        <v>11.01666667</v>
      </c>
      <c r="AA140" s="18">
        <f>IF(Z140=0,0, IF(Z140&gt;=LOOKUP(Q140,MinHr_Weekly_Bonus!A:A,MinHr_Weekly_Bonus!B:B), LOOKUP(Q140,MinHr_Weekly_Bonus!A:A,MinHr_Weekly_Bonus!C:C), 0))</f>
        <v>0</v>
      </c>
      <c r="AB140" s="15">
        <f t="shared" si="9"/>
        <v>160</v>
      </c>
      <c r="AC140" s="18" t="str">
        <f t="shared" si="10"/>
        <v/>
      </c>
    </row>
    <row r="141">
      <c r="A141" s="10" t="s">
        <v>36</v>
      </c>
      <c r="B141" s="12">
        <v>46047.0</v>
      </c>
      <c r="C141" s="10" t="s">
        <v>69</v>
      </c>
      <c r="D141" s="10" t="s">
        <v>8</v>
      </c>
      <c r="E141" s="10" t="s">
        <v>11</v>
      </c>
      <c r="F141" s="10" t="s">
        <v>7</v>
      </c>
      <c r="G141" s="10" t="s">
        <v>44</v>
      </c>
      <c r="H141" s="10" t="s">
        <v>47</v>
      </c>
      <c r="I141" s="13">
        <v>0.4479166666666667</v>
      </c>
      <c r="J141" s="13">
        <v>0.7555555555555555</v>
      </c>
      <c r="K141" s="10">
        <v>30.0</v>
      </c>
      <c r="L141" s="13">
        <v>0.4756944444444444</v>
      </c>
      <c r="M141" s="13">
        <v>0.7291666666666666</v>
      </c>
      <c r="N141" s="10">
        <v>50.0</v>
      </c>
      <c r="O141" s="10">
        <v>1.0</v>
      </c>
      <c r="P141" s="10">
        <v>97.0</v>
      </c>
      <c r="Q141" s="14">
        <f t="shared" si="1"/>
        <v>46052</v>
      </c>
      <c r="R141" s="15">
        <f t="shared" si="2"/>
        <v>6.883333333</v>
      </c>
      <c r="S141" s="16">
        <f>IFERROR(__xludf.DUMMYFUNCTION("IFERROR( INDEX( FILTER( Reference!$F:$F, Reference!$A:$A = $E141, Reference!$E:$E = $D141, Reference!$C:$C = $Q141),1),""RATE_NOT_FOUND"")"),24.0)</f>
        <v>24</v>
      </c>
      <c r="T141" s="15">
        <f t="shared" si="3"/>
        <v>165.2</v>
      </c>
      <c r="U141" s="15">
        <f t="shared" si="4"/>
        <v>5.25</v>
      </c>
      <c r="V141" s="17">
        <f t="shared" si="5"/>
        <v>18.47619048</v>
      </c>
      <c r="W141" s="18" t="str">
        <f t="shared" si="6"/>
        <v>Sunday</v>
      </c>
      <c r="X141" s="18">
        <f t="shared" si="7"/>
        <v>0</v>
      </c>
      <c r="Y141" s="14">
        <f>IFERROR(__xludf.DUMMYFUNCTION("IFERROR( INDEX( FILTER(Reference!$D:$D, Reference!$A:$A=$E141, Reference!$C:$C=$Q141), 1),"""")"),46052.0)</f>
        <v>46052</v>
      </c>
      <c r="Z141" s="18">
        <f t="shared" si="8"/>
        <v>14.91666667</v>
      </c>
      <c r="AA141" s="18">
        <f>IF(Z141=0,0, IF(Z141&gt;=LOOKUP(Q141,MinHr_Weekly_Bonus!A:A,MinHr_Weekly_Bonus!B:B), LOOKUP(Q141,MinHr_Weekly_Bonus!A:A,MinHr_Weekly_Bonus!C:C), 0))</f>
        <v>0</v>
      </c>
      <c r="AB141" s="15">
        <f t="shared" si="9"/>
        <v>165.2</v>
      </c>
      <c r="AC141" s="18" t="str">
        <f t="shared" si="10"/>
        <v/>
      </c>
    </row>
    <row r="142">
      <c r="A142" s="10" t="s">
        <v>36</v>
      </c>
      <c r="B142" s="12">
        <v>46047.0</v>
      </c>
      <c r="C142" s="10" t="s">
        <v>61</v>
      </c>
      <c r="D142" s="10" t="s">
        <v>10</v>
      </c>
      <c r="E142" s="10" t="s">
        <v>6</v>
      </c>
      <c r="F142" s="10" t="s">
        <v>7</v>
      </c>
      <c r="G142" s="10" t="s">
        <v>44</v>
      </c>
      <c r="I142" s="13">
        <v>0.6513888888888889</v>
      </c>
      <c r="J142" s="13">
        <v>0.8333333333333334</v>
      </c>
      <c r="K142" s="10">
        <v>0.0</v>
      </c>
      <c r="O142" s="10">
        <v>1.0</v>
      </c>
      <c r="Q142" s="14">
        <f t="shared" si="1"/>
        <v>46052</v>
      </c>
      <c r="R142" s="15">
        <f t="shared" si="2"/>
        <v>4.366666667</v>
      </c>
      <c r="S142" s="16">
        <f>IFERROR(__xludf.DUMMYFUNCTION("IFERROR( INDEX( FILTER( Reference!$F:$F, Reference!$A:$A = $E142, Reference!$E:$E = $D142, Reference!$C:$C = $Q142),1),""RATE_NOT_FOUND"")"),22.0)</f>
        <v>22</v>
      </c>
      <c r="T142" s="15">
        <f t="shared" si="3"/>
        <v>96.06666667</v>
      </c>
      <c r="U142" s="15">
        <f t="shared" si="4"/>
        <v>0</v>
      </c>
      <c r="V142" s="17">
        <f t="shared" si="5"/>
        <v>0</v>
      </c>
      <c r="W142" s="18" t="str">
        <f t="shared" si="6"/>
        <v>Sunday</v>
      </c>
      <c r="X142" s="18">
        <f t="shared" si="7"/>
        <v>0</v>
      </c>
      <c r="Y142" s="14">
        <f>IFERROR(__xludf.DUMMYFUNCTION("IFERROR( INDEX( FILTER(Reference!$D:$D, Reference!$A:$A=$E142, Reference!$C:$C=$Q142), 1),"""")"),46052.0)</f>
        <v>46052</v>
      </c>
      <c r="Z142" s="18">
        <f t="shared" si="8"/>
        <v>0</v>
      </c>
      <c r="AA142" s="18">
        <f>IF(Z142=0,0, IF(Z142&gt;=LOOKUP(Q142,MinHr_Weekly_Bonus!A:A,MinHr_Weekly_Bonus!B:B), LOOKUP(Q142,MinHr_Weekly_Bonus!A:A,MinHr_Weekly_Bonus!C:C), 0))</f>
        <v>0</v>
      </c>
      <c r="AB142" s="15">
        <f t="shared" si="9"/>
        <v>96.06666667</v>
      </c>
      <c r="AC142" s="18" t="str">
        <f t="shared" si="10"/>
        <v/>
      </c>
    </row>
    <row r="143">
      <c r="A143" s="10" t="s">
        <v>36</v>
      </c>
      <c r="B143" s="12">
        <v>46049.0</v>
      </c>
      <c r="C143" s="10" t="s">
        <v>65</v>
      </c>
      <c r="D143" s="10" t="s">
        <v>8</v>
      </c>
      <c r="E143" s="10" t="s">
        <v>6</v>
      </c>
      <c r="F143" s="10" t="s">
        <v>7</v>
      </c>
      <c r="G143" s="10" t="s">
        <v>44</v>
      </c>
      <c r="H143" s="10" t="s">
        <v>51</v>
      </c>
      <c r="I143" s="13">
        <v>0.44583333333333336</v>
      </c>
      <c r="J143" s="13">
        <v>0.7708333333333334</v>
      </c>
      <c r="K143" s="10">
        <v>30.0</v>
      </c>
      <c r="L143" s="13">
        <v>0.4722222222222222</v>
      </c>
      <c r="M143" s="13">
        <v>0.7361111111111112</v>
      </c>
      <c r="N143" s="10">
        <v>50.0</v>
      </c>
      <c r="O143" s="10">
        <v>1.0</v>
      </c>
      <c r="P143" s="10">
        <v>53.0</v>
      </c>
      <c r="Q143" s="14">
        <f t="shared" si="1"/>
        <v>46052</v>
      </c>
      <c r="R143" s="15">
        <f t="shared" si="2"/>
        <v>7.3</v>
      </c>
      <c r="S143" s="16">
        <f>IFERROR(__xludf.DUMMYFUNCTION("IFERROR( INDEX( FILTER( Reference!$F:$F, Reference!$A:$A = $E143, Reference!$E:$E = $D143, Reference!$C:$C = $Q143),1),""RATE_NOT_FOUND"")"),24.0)</f>
        <v>24</v>
      </c>
      <c r="T143" s="15">
        <f t="shared" si="3"/>
        <v>175.2</v>
      </c>
      <c r="U143" s="15">
        <f t="shared" si="4"/>
        <v>5.5</v>
      </c>
      <c r="V143" s="17">
        <f t="shared" si="5"/>
        <v>9.636363636</v>
      </c>
      <c r="W143" s="18" t="str">
        <f t="shared" si="6"/>
        <v>Tuesday</v>
      </c>
      <c r="X143" s="18">
        <f t="shared" si="7"/>
        <v>0</v>
      </c>
      <c r="Y143" s="14">
        <f>IFERROR(__xludf.DUMMYFUNCTION("IFERROR( INDEX( FILTER(Reference!$D:$D, Reference!$A:$A=$E143, Reference!$C:$C=$Q143), 1),"""")"),46052.0)</f>
        <v>46052</v>
      </c>
      <c r="Z143" s="18">
        <f t="shared" si="8"/>
        <v>20.83333333</v>
      </c>
      <c r="AA143" s="18">
        <f>IF(Z143=0,0, IF(Z143&gt;=LOOKUP(Q143,MinHr_Weekly_Bonus!A:A,MinHr_Weekly_Bonus!B:B), LOOKUP(Q143,MinHr_Weekly_Bonus!A:A,MinHr_Weekly_Bonus!C:C), 0))</f>
        <v>0</v>
      </c>
      <c r="AB143" s="15">
        <f t="shared" si="9"/>
        <v>175.2</v>
      </c>
      <c r="AC143" s="18" t="str">
        <f t="shared" si="10"/>
        <v/>
      </c>
    </row>
    <row r="144">
      <c r="A144" s="10" t="s">
        <v>36</v>
      </c>
      <c r="B144" s="12">
        <v>46049.0</v>
      </c>
      <c r="C144" s="10" t="s">
        <v>51</v>
      </c>
      <c r="D144" s="10" t="s">
        <v>9</v>
      </c>
      <c r="E144" s="10" t="s">
        <v>6</v>
      </c>
      <c r="F144" s="10" t="s">
        <v>7</v>
      </c>
      <c r="G144" s="10" t="s">
        <v>44</v>
      </c>
      <c r="H144" s="10" t="s">
        <v>51</v>
      </c>
      <c r="I144" s="13">
        <v>0.4284722222222222</v>
      </c>
      <c r="J144" s="13">
        <v>0.7645833333333333</v>
      </c>
      <c r="K144" s="10">
        <v>30.0</v>
      </c>
      <c r="L144" s="13">
        <v>0.4722222222222222</v>
      </c>
      <c r="M144" s="13">
        <v>0.7291666666666666</v>
      </c>
      <c r="N144" s="10">
        <v>50.0</v>
      </c>
      <c r="O144" s="10">
        <v>1.0</v>
      </c>
      <c r="P144" s="10">
        <v>51.0</v>
      </c>
      <c r="Q144" s="14">
        <f t="shared" si="1"/>
        <v>46052</v>
      </c>
      <c r="R144" s="15">
        <f t="shared" si="2"/>
        <v>7.566666667</v>
      </c>
      <c r="S144" s="16">
        <f>IFERROR(__xludf.DUMMYFUNCTION("IFERROR( INDEX( FILTER( Reference!$F:$F, Reference!$A:$A = $E144, Reference!$E:$E = $D144, Reference!$C:$C = $Q144),1),""RATE_NOT_FOUND"")"),27.0)</f>
        <v>27</v>
      </c>
      <c r="T144" s="15">
        <f t="shared" si="3"/>
        <v>204.3</v>
      </c>
      <c r="U144" s="15">
        <f t="shared" si="4"/>
        <v>5.333333333</v>
      </c>
      <c r="V144" s="17">
        <f t="shared" si="5"/>
        <v>9.5625</v>
      </c>
      <c r="W144" s="18" t="str">
        <f t="shared" si="6"/>
        <v>Tuesday</v>
      </c>
      <c r="X144" s="18">
        <f t="shared" si="7"/>
        <v>0</v>
      </c>
      <c r="Y144" s="14">
        <f>IFERROR(__xludf.DUMMYFUNCTION("IFERROR( INDEX( FILTER(Reference!$D:$D, Reference!$A:$A=$E144, Reference!$C:$C=$Q144), 1),"""")"),46052.0)</f>
        <v>46052</v>
      </c>
      <c r="Z144" s="18">
        <f t="shared" si="8"/>
        <v>26.23333333</v>
      </c>
      <c r="AA144" s="18">
        <f>IF(Z144=0,0, IF(Z144&gt;=LOOKUP(Q144,MinHr_Weekly_Bonus!A:A,MinHr_Weekly_Bonus!B:B), LOOKUP(Q144,MinHr_Weekly_Bonus!A:A,MinHr_Weekly_Bonus!C:C), 0))</f>
        <v>150</v>
      </c>
      <c r="AB144" s="15">
        <f t="shared" si="9"/>
        <v>204.3</v>
      </c>
      <c r="AC144" s="18" t="str">
        <f t="shared" si="10"/>
        <v/>
      </c>
    </row>
    <row r="145">
      <c r="A145" s="10" t="s">
        <v>36</v>
      </c>
      <c r="B145" s="12">
        <v>46049.0</v>
      </c>
      <c r="C145" s="10" t="s">
        <v>75</v>
      </c>
      <c r="D145" s="10" t="s">
        <v>8</v>
      </c>
      <c r="E145" s="10" t="s">
        <v>6</v>
      </c>
      <c r="F145" s="10" t="s">
        <v>7</v>
      </c>
      <c r="G145" s="10" t="s">
        <v>44</v>
      </c>
      <c r="H145" s="10" t="s">
        <v>47</v>
      </c>
      <c r="I145" s="13">
        <v>0.3958333333333333</v>
      </c>
      <c r="J145" s="13">
        <v>0.7708333333333334</v>
      </c>
      <c r="K145" s="10">
        <v>30.0</v>
      </c>
      <c r="L145" s="13">
        <v>0.4777777777777778</v>
      </c>
      <c r="M145" s="13">
        <v>0.7291666666666666</v>
      </c>
      <c r="N145" s="10">
        <v>50.0</v>
      </c>
      <c r="O145" s="10">
        <v>1.0</v>
      </c>
      <c r="P145" s="10">
        <v>113.0</v>
      </c>
      <c r="Q145" s="14">
        <f t="shared" si="1"/>
        <v>46052</v>
      </c>
      <c r="R145" s="15">
        <f t="shared" si="2"/>
        <v>8.5</v>
      </c>
      <c r="S145" s="16">
        <f>IFERROR(__xludf.DUMMYFUNCTION("IFERROR( INDEX( FILTER( Reference!$F:$F, Reference!$A:$A = $E145, Reference!$E:$E = $D145, Reference!$C:$C = $Q145),1),""RATE_NOT_FOUND"")"),24.0)</f>
        <v>24</v>
      </c>
      <c r="T145" s="15">
        <f t="shared" si="3"/>
        <v>204</v>
      </c>
      <c r="U145" s="15">
        <f t="shared" si="4"/>
        <v>5.2</v>
      </c>
      <c r="V145" s="17">
        <f t="shared" si="5"/>
        <v>21.73076923</v>
      </c>
      <c r="W145" s="18" t="str">
        <f t="shared" si="6"/>
        <v>Tuesday</v>
      </c>
      <c r="X145" s="18">
        <f t="shared" si="7"/>
        <v>0</v>
      </c>
      <c r="Y145" s="14">
        <f>IFERROR(__xludf.DUMMYFUNCTION("IFERROR( INDEX( FILTER(Reference!$D:$D, Reference!$A:$A=$E145, Reference!$C:$C=$Q145), 1),"""")"),46052.0)</f>
        <v>46052</v>
      </c>
      <c r="Z145" s="18">
        <f t="shared" si="8"/>
        <v>19.36666667</v>
      </c>
      <c r="AA145" s="18">
        <f>IF(Z145=0,0, IF(Z145&gt;=LOOKUP(Q145,MinHr_Weekly_Bonus!A:A,MinHr_Weekly_Bonus!B:B), LOOKUP(Q145,MinHr_Weekly_Bonus!A:A,MinHr_Weekly_Bonus!C:C), 0))</f>
        <v>0</v>
      </c>
      <c r="AB145" s="15">
        <f t="shared" si="9"/>
        <v>204</v>
      </c>
      <c r="AC145" s="18" t="str">
        <f t="shared" si="10"/>
        <v/>
      </c>
    </row>
    <row r="146">
      <c r="A146" s="10" t="s">
        <v>36</v>
      </c>
      <c r="B146" s="12">
        <v>46049.0</v>
      </c>
      <c r="C146" s="10" t="s">
        <v>43</v>
      </c>
      <c r="D146" s="10" t="s">
        <v>8</v>
      </c>
      <c r="E146" s="10" t="s">
        <v>6</v>
      </c>
      <c r="F146" s="10" t="s">
        <v>7</v>
      </c>
      <c r="G146" s="10" t="s">
        <v>44</v>
      </c>
      <c r="H146" s="10" t="s">
        <v>47</v>
      </c>
      <c r="I146" s="13">
        <v>0.4479166666666667</v>
      </c>
      <c r="J146" s="13">
        <v>0.7784722222222222</v>
      </c>
      <c r="K146" s="10">
        <v>30.0</v>
      </c>
      <c r="L146" s="13">
        <v>0.4965277777777778</v>
      </c>
      <c r="M146" s="13">
        <v>0.7291666666666666</v>
      </c>
      <c r="N146" s="10">
        <v>70.0</v>
      </c>
      <c r="O146" s="10">
        <v>1.0</v>
      </c>
      <c r="P146" s="10">
        <v>51.0</v>
      </c>
      <c r="Q146" s="14">
        <f t="shared" si="1"/>
        <v>46052</v>
      </c>
      <c r="R146" s="15">
        <f t="shared" si="2"/>
        <v>7.433333333</v>
      </c>
      <c r="S146" s="16">
        <f>IFERROR(__xludf.DUMMYFUNCTION("IFERROR( INDEX( FILTER( Reference!$F:$F, Reference!$A:$A = $E146, Reference!$E:$E = $D146, Reference!$C:$C = $Q146),1),""RATE_NOT_FOUND"")"),24.0)</f>
        <v>24</v>
      </c>
      <c r="T146" s="15">
        <f t="shared" si="3"/>
        <v>178.4</v>
      </c>
      <c r="U146" s="15">
        <f t="shared" si="4"/>
        <v>4.416666667</v>
      </c>
      <c r="V146" s="17">
        <f t="shared" si="5"/>
        <v>11.54716981</v>
      </c>
      <c r="W146" s="18" t="str">
        <f t="shared" si="6"/>
        <v>Tuesday</v>
      </c>
      <c r="X146" s="18">
        <f t="shared" si="7"/>
        <v>0</v>
      </c>
      <c r="Y146" s="14">
        <f>IFERROR(__xludf.DUMMYFUNCTION("IFERROR( INDEX( FILTER(Reference!$D:$D, Reference!$A:$A=$E146, Reference!$C:$C=$Q146), 1),"""")"),46052.0)</f>
        <v>46052</v>
      </c>
      <c r="Z146" s="18">
        <f t="shared" si="8"/>
        <v>19.7</v>
      </c>
      <c r="AA146" s="18">
        <f>IF(Z146=0,0, IF(Z146&gt;=LOOKUP(Q146,MinHr_Weekly_Bonus!A:A,MinHr_Weekly_Bonus!B:B), LOOKUP(Q146,MinHr_Weekly_Bonus!A:A,MinHr_Weekly_Bonus!C:C), 0))</f>
        <v>0</v>
      </c>
      <c r="AB146" s="15">
        <f t="shared" si="9"/>
        <v>178.4</v>
      </c>
      <c r="AC146" s="18" t="str">
        <f t="shared" si="10"/>
        <v/>
      </c>
    </row>
    <row r="147">
      <c r="A147" s="10" t="s">
        <v>36</v>
      </c>
      <c r="B147" s="12">
        <v>46049.0</v>
      </c>
      <c r="C147" s="10" t="s">
        <v>48</v>
      </c>
      <c r="D147" s="10" t="s">
        <v>8</v>
      </c>
      <c r="E147" s="10" t="s">
        <v>6</v>
      </c>
      <c r="F147" s="10" t="s">
        <v>7</v>
      </c>
      <c r="G147" s="10" t="s">
        <v>44</v>
      </c>
      <c r="H147" s="10" t="s">
        <v>47</v>
      </c>
      <c r="I147" s="13">
        <v>0.4479166666666667</v>
      </c>
      <c r="J147" s="13">
        <v>0.7833333333333333</v>
      </c>
      <c r="K147" s="10">
        <v>30.0</v>
      </c>
      <c r="L147" s="13">
        <v>0.4826388888888889</v>
      </c>
      <c r="M147" s="13">
        <v>0.7291666666666666</v>
      </c>
      <c r="N147" s="10">
        <v>50.0</v>
      </c>
      <c r="O147" s="10">
        <v>1.0</v>
      </c>
      <c r="P147" s="10">
        <v>52.0</v>
      </c>
      <c r="Q147" s="14">
        <f t="shared" si="1"/>
        <v>46052</v>
      </c>
      <c r="R147" s="15">
        <f t="shared" si="2"/>
        <v>7.55</v>
      </c>
      <c r="S147" s="16">
        <f>IFERROR(__xludf.DUMMYFUNCTION("IFERROR( INDEX( FILTER( Reference!$F:$F, Reference!$A:$A = $E147, Reference!$E:$E = $D147, Reference!$C:$C = $Q147),1),""RATE_NOT_FOUND"")"),24.0)</f>
        <v>24</v>
      </c>
      <c r="T147" s="15">
        <f t="shared" si="3"/>
        <v>181.2</v>
      </c>
      <c r="U147" s="15">
        <f t="shared" si="4"/>
        <v>5.083333333</v>
      </c>
      <c r="V147" s="17">
        <f t="shared" si="5"/>
        <v>10.2295082</v>
      </c>
      <c r="W147" s="18" t="str">
        <f t="shared" si="6"/>
        <v>Tuesday</v>
      </c>
      <c r="X147" s="18">
        <f t="shared" si="7"/>
        <v>0</v>
      </c>
      <c r="Y147" s="14">
        <f>IFERROR(__xludf.DUMMYFUNCTION("IFERROR( INDEX( FILTER(Reference!$D:$D, Reference!$A:$A=$E147, Reference!$C:$C=$Q147), 1),"""")"),46052.0)</f>
        <v>46052</v>
      </c>
      <c r="Z147" s="18">
        <f t="shared" si="8"/>
        <v>15.45</v>
      </c>
      <c r="AA147" s="18">
        <f>IF(Z147=0,0, IF(Z147&gt;=LOOKUP(Q147,MinHr_Weekly_Bonus!A:A,MinHr_Weekly_Bonus!B:B), LOOKUP(Q147,MinHr_Weekly_Bonus!A:A,MinHr_Weekly_Bonus!C:C), 0))</f>
        <v>0</v>
      </c>
      <c r="AB147" s="15">
        <f t="shared" si="9"/>
        <v>181.2</v>
      </c>
      <c r="AC147" s="18" t="str">
        <f t="shared" si="10"/>
        <v/>
      </c>
    </row>
    <row r="148">
      <c r="A148" s="10" t="s">
        <v>36</v>
      </c>
      <c r="B148" s="12">
        <v>46049.0</v>
      </c>
      <c r="C148" s="10" t="s">
        <v>47</v>
      </c>
      <c r="D148" s="10" t="s">
        <v>9</v>
      </c>
      <c r="E148" s="10" t="s">
        <v>6</v>
      </c>
      <c r="F148" s="10" t="s">
        <v>7</v>
      </c>
      <c r="G148" s="10" t="s">
        <v>44</v>
      </c>
      <c r="H148" s="10" t="s">
        <v>47</v>
      </c>
      <c r="I148" s="13">
        <v>0.42569444444444443</v>
      </c>
      <c r="J148" s="13">
        <v>0.7923611111111111</v>
      </c>
      <c r="K148" s="10">
        <v>30.0</v>
      </c>
      <c r="L148" s="13">
        <v>0.4875</v>
      </c>
      <c r="M148" s="13">
        <v>0.7291666666666666</v>
      </c>
      <c r="N148" s="10">
        <v>90.0</v>
      </c>
      <c r="O148" s="10">
        <v>1.0</v>
      </c>
      <c r="P148" s="10">
        <v>118.0</v>
      </c>
      <c r="Q148" s="14">
        <f t="shared" si="1"/>
        <v>46052</v>
      </c>
      <c r="R148" s="15">
        <f t="shared" si="2"/>
        <v>8.3</v>
      </c>
      <c r="S148" s="16">
        <f>IFERROR(__xludf.DUMMYFUNCTION("IFERROR( INDEX( FILTER( Reference!$F:$F, Reference!$A:$A = $E148, Reference!$E:$E = $D148, Reference!$C:$C = $Q148),1),""RATE_NOT_FOUND"")"),27.0)</f>
        <v>27</v>
      </c>
      <c r="T148" s="15">
        <f t="shared" si="3"/>
        <v>224.1</v>
      </c>
      <c r="U148" s="15">
        <f t="shared" si="4"/>
        <v>4.3</v>
      </c>
      <c r="V148" s="17">
        <f t="shared" si="5"/>
        <v>27.44186047</v>
      </c>
      <c r="W148" s="18" t="str">
        <f t="shared" si="6"/>
        <v>Tuesday</v>
      </c>
      <c r="X148" s="18">
        <f t="shared" si="7"/>
        <v>0</v>
      </c>
      <c r="Y148" s="14">
        <f>IFERROR(__xludf.DUMMYFUNCTION("IFERROR( INDEX( FILTER(Reference!$D:$D, Reference!$A:$A=$E148, Reference!$C:$C=$Q148), 1),"""")"),46052.0)</f>
        <v>46052</v>
      </c>
      <c r="Z148" s="18">
        <f t="shared" si="8"/>
        <v>22.65</v>
      </c>
      <c r="AA148" s="18">
        <f>IF(Z148=0,0, IF(Z148&gt;=LOOKUP(Q148,MinHr_Weekly_Bonus!A:A,MinHr_Weekly_Bonus!B:B), LOOKUP(Q148,MinHr_Weekly_Bonus!A:A,MinHr_Weekly_Bonus!C:C), 0))</f>
        <v>0</v>
      </c>
      <c r="AB148" s="15">
        <f t="shared" si="9"/>
        <v>224.1</v>
      </c>
      <c r="AC148" s="18" t="str">
        <f t="shared" si="10"/>
        <v/>
      </c>
    </row>
    <row r="149">
      <c r="A149" s="10" t="s">
        <v>36</v>
      </c>
      <c r="B149" s="12">
        <v>46049.0</v>
      </c>
      <c r="C149" s="10" t="s">
        <v>76</v>
      </c>
      <c r="D149" s="10" t="s">
        <v>8</v>
      </c>
      <c r="E149" s="10" t="s">
        <v>6</v>
      </c>
      <c r="F149" s="10" t="s">
        <v>7</v>
      </c>
      <c r="G149" s="10" t="s">
        <v>44</v>
      </c>
      <c r="H149" s="10" t="s">
        <v>37</v>
      </c>
      <c r="I149" s="13">
        <v>0.3958333333333333</v>
      </c>
      <c r="J149" s="13">
        <v>0.78125</v>
      </c>
      <c r="K149" s="10">
        <v>30.0</v>
      </c>
      <c r="L149" s="13">
        <v>0.4930555555555556</v>
      </c>
      <c r="M149" s="13">
        <v>0.7291666666666666</v>
      </c>
      <c r="N149" s="10">
        <v>73.0</v>
      </c>
      <c r="O149" s="10">
        <v>1.0</v>
      </c>
      <c r="P149" s="10">
        <v>119.0</v>
      </c>
      <c r="Q149" s="14">
        <f t="shared" si="1"/>
        <v>46052</v>
      </c>
      <c r="R149" s="15">
        <f t="shared" si="2"/>
        <v>8.75</v>
      </c>
      <c r="S149" s="16">
        <f>IFERROR(__xludf.DUMMYFUNCTION("IFERROR( INDEX( FILTER( Reference!$F:$F, Reference!$A:$A = $E149, Reference!$E:$E = $D149, Reference!$C:$C = $Q149),1),""RATE_NOT_FOUND"")"),24.0)</f>
        <v>24</v>
      </c>
      <c r="T149" s="15">
        <f t="shared" si="3"/>
        <v>210</v>
      </c>
      <c r="U149" s="15">
        <f t="shared" si="4"/>
        <v>4.45</v>
      </c>
      <c r="V149" s="17">
        <f t="shared" si="5"/>
        <v>26.74157303</v>
      </c>
      <c r="W149" s="18" t="str">
        <f t="shared" si="6"/>
        <v>Tuesday</v>
      </c>
      <c r="X149" s="18">
        <f t="shared" si="7"/>
        <v>0</v>
      </c>
      <c r="Y149" s="14">
        <f>IFERROR(__xludf.DUMMYFUNCTION("IFERROR( INDEX( FILTER(Reference!$D:$D, Reference!$A:$A=$E149, Reference!$C:$C=$Q149), 1),"""")"),46052.0)</f>
        <v>46052</v>
      </c>
      <c r="Z149" s="18">
        <f t="shared" si="8"/>
        <v>20.15</v>
      </c>
      <c r="AA149" s="18">
        <f>IF(Z149=0,0, IF(Z149&gt;=LOOKUP(Q149,MinHr_Weekly_Bonus!A:A,MinHr_Weekly_Bonus!B:B), LOOKUP(Q149,MinHr_Weekly_Bonus!A:A,MinHr_Weekly_Bonus!C:C), 0))</f>
        <v>0</v>
      </c>
      <c r="AB149" s="15">
        <f t="shared" si="9"/>
        <v>210</v>
      </c>
      <c r="AC149" s="18" t="str">
        <f t="shared" si="10"/>
        <v/>
      </c>
    </row>
    <row r="150">
      <c r="A150" s="10" t="s">
        <v>36</v>
      </c>
      <c r="B150" s="12">
        <v>46049.0</v>
      </c>
      <c r="C150" s="10" t="s">
        <v>37</v>
      </c>
      <c r="D150" s="10" t="s">
        <v>9</v>
      </c>
      <c r="E150" s="10" t="s">
        <v>6</v>
      </c>
      <c r="F150" s="10" t="s">
        <v>7</v>
      </c>
      <c r="G150" s="10" t="s">
        <v>44</v>
      </c>
      <c r="H150" s="10" t="s">
        <v>37</v>
      </c>
      <c r="I150" s="13">
        <v>0.4236111111111111</v>
      </c>
      <c r="J150" s="13">
        <v>0.7777777777777778</v>
      </c>
      <c r="K150" s="10">
        <v>30.0</v>
      </c>
      <c r="L150" s="13">
        <v>0.4861111111111111</v>
      </c>
      <c r="M150" s="13">
        <v>0.7326388888888888</v>
      </c>
      <c r="N150" s="10">
        <v>50.0</v>
      </c>
      <c r="O150" s="10">
        <v>1.0</v>
      </c>
      <c r="P150" s="10">
        <v>55.0</v>
      </c>
      <c r="Q150" s="14">
        <f t="shared" si="1"/>
        <v>46052</v>
      </c>
      <c r="R150" s="15">
        <f t="shared" si="2"/>
        <v>8</v>
      </c>
      <c r="S150" s="16">
        <f>IFERROR(__xludf.DUMMYFUNCTION("IFERROR( INDEX( FILTER( Reference!$F:$F, Reference!$A:$A = $E150, Reference!$E:$E = $D150, Reference!$C:$C = $Q150),1),""RATE_NOT_FOUND"")"),27.0)</f>
        <v>27</v>
      </c>
      <c r="T150" s="15">
        <f t="shared" si="3"/>
        <v>216</v>
      </c>
      <c r="U150" s="15">
        <f t="shared" si="4"/>
        <v>5.083333333</v>
      </c>
      <c r="V150" s="17">
        <f t="shared" si="5"/>
        <v>10.81967213</v>
      </c>
      <c r="W150" s="18" t="str">
        <f t="shared" si="6"/>
        <v>Tuesday</v>
      </c>
      <c r="X150" s="18">
        <f t="shared" si="7"/>
        <v>0</v>
      </c>
      <c r="Y150" s="14">
        <f>IFERROR(__xludf.DUMMYFUNCTION("IFERROR( INDEX( FILTER(Reference!$D:$D, Reference!$A:$A=$E150, Reference!$C:$C=$Q150), 1),"""")"),46052.0)</f>
        <v>46052</v>
      </c>
      <c r="Z150" s="18">
        <f t="shared" si="8"/>
        <v>25.83333333</v>
      </c>
      <c r="AA150" s="18">
        <f>IF(Z150=0,0, IF(Z150&gt;=LOOKUP(Q150,MinHr_Weekly_Bonus!A:A,MinHr_Weekly_Bonus!B:B), LOOKUP(Q150,MinHr_Weekly_Bonus!A:A,MinHr_Weekly_Bonus!C:C), 0))</f>
        <v>150</v>
      </c>
      <c r="AB150" s="15">
        <f t="shared" si="9"/>
        <v>216</v>
      </c>
      <c r="AC150" s="18" t="str">
        <f t="shared" si="10"/>
        <v/>
      </c>
    </row>
    <row r="151">
      <c r="A151" s="10" t="s">
        <v>36</v>
      </c>
      <c r="B151" s="12">
        <v>46049.0</v>
      </c>
      <c r="C151" s="10" t="s">
        <v>77</v>
      </c>
      <c r="D151" s="10" t="s">
        <v>8</v>
      </c>
      <c r="E151" s="10" t="s">
        <v>11</v>
      </c>
      <c r="F151" s="10" t="s">
        <v>7</v>
      </c>
      <c r="G151" s="10" t="s">
        <v>44</v>
      </c>
      <c r="H151" s="10" t="s">
        <v>41</v>
      </c>
      <c r="I151" s="13">
        <v>0.3958333333333333</v>
      </c>
      <c r="J151" s="13">
        <v>0.7916666666666666</v>
      </c>
      <c r="K151" s="10">
        <v>30.0</v>
      </c>
      <c r="L151" s="13">
        <v>0.4861111111111111</v>
      </c>
      <c r="M151" s="13">
        <v>0.7291666666666666</v>
      </c>
      <c r="N151" s="10">
        <v>50.0</v>
      </c>
      <c r="O151" s="10">
        <v>1.0</v>
      </c>
      <c r="P151" s="10">
        <v>108.0</v>
      </c>
      <c r="Q151" s="14">
        <f t="shared" si="1"/>
        <v>46052</v>
      </c>
      <c r="R151" s="15">
        <f t="shared" si="2"/>
        <v>9</v>
      </c>
      <c r="S151" s="16">
        <f>IFERROR(__xludf.DUMMYFUNCTION("IFERROR( INDEX( FILTER( Reference!$F:$F, Reference!$A:$A = $E151, Reference!$E:$E = $D151, Reference!$C:$C = $Q151),1),""RATE_NOT_FOUND"")"),24.0)</f>
        <v>24</v>
      </c>
      <c r="T151" s="15">
        <f t="shared" si="3"/>
        <v>216</v>
      </c>
      <c r="U151" s="15">
        <f t="shared" si="4"/>
        <v>5</v>
      </c>
      <c r="V151" s="17">
        <f t="shared" si="5"/>
        <v>21.6</v>
      </c>
      <c r="W151" s="18" t="str">
        <f t="shared" si="6"/>
        <v>Tuesday</v>
      </c>
      <c r="X151" s="18">
        <f t="shared" si="7"/>
        <v>0</v>
      </c>
      <c r="Y151" s="14">
        <f>IFERROR(__xludf.DUMMYFUNCTION("IFERROR( INDEX( FILTER(Reference!$D:$D, Reference!$A:$A=$E151, Reference!$C:$C=$Q151), 1),"""")"),46052.0)</f>
        <v>46052</v>
      </c>
      <c r="Z151" s="18">
        <f t="shared" si="8"/>
        <v>20.78333333</v>
      </c>
      <c r="AA151" s="18">
        <f>IF(Z151=0,0, IF(Z151&gt;=LOOKUP(Q151,MinHr_Weekly_Bonus!A:A,MinHr_Weekly_Bonus!B:B), LOOKUP(Q151,MinHr_Weekly_Bonus!A:A,MinHr_Weekly_Bonus!C:C), 0))</f>
        <v>0</v>
      </c>
      <c r="AB151" s="15">
        <f t="shared" si="9"/>
        <v>216</v>
      </c>
      <c r="AC151" s="18" t="str">
        <f t="shared" si="10"/>
        <v/>
      </c>
    </row>
    <row r="152">
      <c r="A152" s="10" t="s">
        <v>36</v>
      </c>
      <c r="B152" s="12">
        <v>46049.0</v>
      </c>
      <c r="C152" s="10" t="s">
        <v>62</v>
      </c>
      <c r="D152" s="10" t="s">
        <v>8</v>
      </c>
      <c r="E152" s="10" t="s">
        <v>11</v>
      </c>
      <c r="F152" s="10" t="s">
        <v>7</v>
      </c>
      <c r="G152" s="10" t="s">
        <v>44</v>
      </c>
      <c r="H152" s="10" t="s">
        <v>41</v>
      </c>
      <c r="I152" s="13">
        <v>0.4444444444444444</v>
      </c>
      <c r="J152" s="13">
        <v>0.7958333333333333</v>
      </c>
      <c r="K152" s="10">
        <v>30.0</v>
      </c>
      <c r="L152" s="13">
        <v>0.4965277777777778</v>
      </c>
      <c r="M152" s="13">
        <v>0.7291666666666666</v>
      </c>
      <c r="N152" s="10">
        <v>50.0</v>
      </c>
      <c r="O152" s="10">
        <v>1.0</v>
      </c>
      <c r="P152" s="10">
        <v>51.0</v>
      </c>
      <c r="Q152" s="14">
        <f t="shared" si="1"/>
        <v>46052</v>
      </c>
      <c r="R152" s="15">
        <f t="shared" si="2"/>
        <v>7.933333333</v>
      </c>
      <c r="S152" s="16">
        <f>IFERROR(__xludf.DUMMYFUNCTION("IFERROR( INDEX( FILTER( Reference!$F:$F, Reference!$A:$A = $E152, Reference!$E:$E = $D152, Reference!$C:$C = $Q152),1),""RATE_NOT_FOUND"")"),24.0)</f>
        <v>24</v>
      </c>
      <c r="T152" s="15">
        <f t="shared" si="3"/>
        <v>190.4</v>
      </c>
      <c r="U152" s="15">
        <f t="shared" si="4"/>
        <v>4.75</v>
      </c>
      <c r="V152" s="17">
        <f t="shared" si="5"/>
        <v>10.73684211</v>
      </c>
      <c r="W152" s="18" t="str">
        <f t="shared" si="6"/>
        <v>Tuesday</v>
      </c>
      <c r="X152" s="18">
        <f t="shared" si="7"/>
        <v>0</v>
      </c>
      <c r="Y152" s="14">
        <f>IFERROR(__xludf.DUMMYFUNCTION("IFERROR( INDEX( FILTER(Reference!$D:$D, Reference!$A:$A=$E152, Reference!$C:$C=$Q152), 1),"""")"),46052.0)</f>
        <v>46052</v>
      </c>
      <c r="Z152" s="18">
        <f t="shared" si="8"/>
        <v>20.2</v>
      </c>
      <c r="AA152" s="18">
        <f>IF(Z152=0,0, IF(Z152&gt;=LOOKUP(Q152,MinHr_Weekly_Bonus!A:A,MinHr_Weekly_Bonus!B:B), LOOKUP(Q152,MinHr_Weekly_Bonus!A:A,MinHr_Weekly_Bonus!C:C), 0))</f>
        <v>0</v>
      </c>
      <c r="AB152" s="15">
        <f t="shared" si="9"/>
        <v>190.4</v>
      </c>
      <c r="AC152" s="18" t="str">
        <f t="shared" si="10"/>
        <v/>
      </c>
    </row>
    <row r="153">
      <c r="A153" s="10" t="s">
        <v>36</v>
      </c>
      <c r="B153" s="12">
        <v>46049.0</v>
      </c>
      <c r="C153" s="10" t="s">
        <v>73</v>
      </c>
      <c r="D153" s="10" t="s">
        <v>8</v>
      </c>
      <c r="E153" s="10" t="s">
        <v>11</v>
      </c>
      <c r="F153" s="10" t="s">
        <v>7</v>
      </c>
      <c r="G153" s="10" t="s">
        <v>44</v>
      </c>
      <c r="H153" s="10" t="s">
        <v>41</v>
      </c>
      <c r="I153" s="13">
        <v>0.4618055555555556</v>
      </c>
      <c r="J153" s="13">
        <v>0.5729166666666666</v>
      </c>
      <c r="K153" s="10">
        <v>0.0</v>
      </c>
      <c r="L153" s="13">
        <v>0.4895833333333333</v>
      </c>
      <c r="M153" s="13">
        <v>0.5347222222222222</v>
      </c>
      <c r="N153" s="10">
        <v>15.0</v>
      </c>
      <c r="O153" s="10">
        <v>0.0</v>
      </c>
      <c r="P153" s="10">
        <v>80.0</v>
      </c>
      <c r="Q153" s="14">
        <f t="shared" si="1"/>
        <v>46052</v>
      </c>
      <c r="R153" s="15">
        <f t="shared" si="2"/>
        <v>2.666666667</v>
      </c>
      <c r="S153" s="16">
        <f>IFERROR(__xludf.DUMMYFUNCTION("IFERROR( INDEX( FILTER( Reference!$F:$F, Reference!$A:$A = $E153, Reference!$E:$E = $D153, Reference!$C:$C = $Q153),1),""RATE_NOT_FOUND"")"),24.0)</f>
        <v>24</v>
      </c>
      <c r="T153" s="15">
        <f t="shared" si="3"/>
        <v>64</v>
      </c>
      <c r="U153" s="15">
        <f t="shared" si="4"/>
        <v>0.8333333333</v>
      </c>
      <c r="V153" s="17">
        <f t="shared" si="5"/>
        <v>96</v>
      </c>
      <c r="W153" s="18" t="str">
        <f t="shared" si="6"/>
        <v>Tuesday</v>
      </c>
      <c r="X153" s="18">
        <f t="shared" si="7"/>
        <v>0</v>
      </c>
      <c r="Y153" s="14">
        <f>IFERROR(__xludf.DUMMYFUNCTION("IFERROR( INDEX( FILTER(Reference!$D:$D, Reference!$A:$A=$E153, Reference!$C:$C=$Q153), 1),"""")"),46052.0)</f>
        <v>46052</v>
      </c>
      <c r="Z153" s="18">
        <f t="shared" si="8"/>
        <v>11.01666667</v>
      </c>
      <c r="AA153" s="18">
        <f>IF(Z153=0,0, IF(Z153&gt;=LOOKUP(Q153,MinHr_Weekly_Bonus!A:A,MinHr_Weekly_Bonus!B:B), LOOKUP(Q153,MinHr_Weekly_Bonus!A:A,MinHr_Weekly_Bonus!C:C), 0))</f>
        <v>0</v>
      </c>
      <c r="AB153" s="15">
        <f t="shared" si="9"/>
        <v>64</v>
      </c>
      <c r="AC153" s="18" t="str">
        <f t="shared" si="10"/>
        <v/>
      </c>
    </row>
    <row r="154">
      <c r="A154" s="10" t="s">
        <v>36</v>
      </c>
      <c r="B154" s="12">
        <v>46049.0</v>
      </c>
      <c r="C154" s="10" t="s">
        <v>78</v>
      </c>
      <c r="D154" s="10" t="s">
        <v>8</v>
      </c>
      <c r="E154" s="10" t="s">
        <v>11</v>
      </c>
      <c r="F154" s="10" t="s">
        <v>7</v>
      </c>
      <c r="G154" s="10" t="s">
        <v>44</v>
      </c>
      <c r="H154" s="10" t="s">
        <v>41</v>
      </c>
      <c r="I154" s="13">
        <v>0.3958333333333333</v>
      </c>
      <c r="J154" s="13">
        <v>0.7916666666666666</v>
      </c>
      <c r="K154" s="10">
        <v>30.0</v>
      </c>
      <c r="L154" s="13">
        <v>0.4791666666666667</v>
      </c>
      <c r="M154" s="13">
        <v>0.7291666666666666</v>
      </c>
      <c r="N154" s="10">
        <v>50.0</v>
      </c>
      <c r="O154" s="10">
        <v>1.0</v>
      </c>
      <c r="P154" s="10">
        <v>54.0</v>
      </c>
      <c r="Q154" s="14">
        <f t="shared" si="1"/>
        <v>46052</v>
      </c>
      <c r="R154" s="15">
        <f t="shared" si="2"/>
        <v>9</v>
      </c>
      <c r="S154" s="16">
        <f>IFERROR(__xludf.DUMMYFUNCTION("IFERROR( INDEX( FILTER( Reference!$F:$F, Reference!$A:$A = $E154, Reference!$E:$E = $D154, Reference!$C:$C = $Q154),1),""RATE_NOT_FOUND"")"),24.0)</f>
        <v>24</v>
      </c>
      <c r="T154" s="15">
        <f t="shared" si="3"/>
        <v>216</v>
      </c>
      <c r="U154" s="15">
        <f t="shared" si="4"/>
        <v>5.166666667</v>
      </c>
      <c r="V154" s="17">
        <f t="shared" si="5"/>
        <v>10.4516129</v>
      </c>
      <c r="W154" s="18" t="str">
        <f t="shared" si="6"/>
        <v>Tuesday</v>
      </c>
      <c r="X154" s="18">
        <f t="shared" si="7"/>
        <v>0</v>
      </c>
      <c r="Y154" s="14">
        <f>IFERROR(__xludf.DUMMYFUNCTION("IFERROR( INDEX( FILTER(Reference!$D:$D, Reference!$A:$A=$E154, Reference!$C:$C=$Q154), 1),"""")"),46052.0)</f>
        <v>46052</v>
      </c>
      <c r="Z154" s="18">
        <f t="shared" si="8"/>
        <v>5.75</v>
      </c>
      <c r="AA154" s="18">
        <f>IF(Z154=0,0, IF(Z154&gt;=LOOKUP(Q154,MinHr_Weekly_Bonus!A:A,MinHr_Weekly_Bonus!B:B), LOOKUP(Q154,MinHr_Weekly_Bonus!A:A,MinHr_Weekly_Bonus!C:C), 0))</f>
        <v>0</v>
      </c>
      <c r="AB154" s="15">
        <f t="shared" si="9"/>
        <v>216</v>
      </c>
      <c r="AC154" s="18" t="str">
        <f t="shared" si="10"/>
        <v/>
      </c>
    </row>
    <row r="155">
      <c r="A155" s="10" t="s">
        <v>36</v>
      </c>
      <c r="B155" s="12">
        <v>46049.0</v>
      </c>
      <c r="C155" s="10" t="s">
        <v>41</v>
      </c>
      <c r="D155" s="10" t="s">
        <v>9</v>
      </c>
      <c r="E155" s="10" t="s">
        <v>11</v>
      </c>
      <c r="F155" s="10" t="s">
        <v>7</v>
      </c>
      <c r="G155" s="10" t="s">
        <v>44</v>
      </c>
      <c r="H155" s="10" t="s">
        <v>41</v>
      </c>
      <c r="I155" s="13">
        <v>0.4236111111111111</v>
      </c>
      <c r="J155" s="13">
        <v>0.7722222222222223</v>
      </c>
      <c r="K155" s="10">
        <v>30.0</v>
      </c>
      <c r="L155" s="13">
        <v>0.4791666666666667</v>
      </c>
      <c r="M155" s="13">
        <v>0.7291666666666666</v>
      </c>
      <c r="N155" s="10">
        <v>50.0</v>
      </c>
      <c r="O155" s="10">
        <v>1.0</v>
      </c>
      <c r="P155" s="10">
        <v>81.0</v>
      </c>
      <c r="Q155" s="14">
        <f t="shared" si="1"/>
        <v>46052</v>
      </c>
      <c r="R155" s="15">
        <f t="shared" si="2"/>
        <v>7.866666667</v>
      </c>
      <c r="S155" s="16">
        <f>IFERROR(__xludf.DUMMYFUNCTION("IFERROR( INDEX( FILTER( Reference!$F:$F, Reference!$A:$A = $E155, Reference!$E:$E = $D155, Reference!$C:$C = $Q155),1),""RATE_NOT_FOUND"")"),26.0)</f>
        <v>26</v>
      </c>
      <c r="T155" s="15">
        <f t="shared" si="3"/>
        <v>204.5333333</v>
      </c>
      <c r="U155" s="15">
        <f t="shared" si="4"/>
        <v>5.166666667</v>
      </c>
      <c r="V155" s="17">
        <f t="shared" si="5"/>
        <v>15.67741935</v>
      </c>
      <c r="W155" s="18" t="str">
        <f t="shared" si="6"/>
        <v>Tuesday</v>
      </c>
      <c r="X155" s="18">
        <f t="shared" si="7"/>
        <v>0</v>
      </c>
      <c r="Y155" s="14">
        <f>IFERROR(__xludf.DUMMYFUNCTION("IFERROR( INDEX( FILTER(Reference!$D:$D, Reference!$A:$A=$E155, Reference!$C:$C=$Q155), 1),"""")"),46052.0)</f>
        <v>46052</v>
      </c>
      <c r="Z155" s="18">
        <f t="shared" si="8"/>
        <v>9.166666667</v>
      </c>
      <c r="AA155" s="18">
        <f>IF(Z155=0,0, IF(Z155&gt;=LOOKUP(Q155,MinHr_Weekly_Bonus!A:A,MinHr_Weekly_Bonus!B:B), LOOKUP(Q155,MinHr_Weekly_Bonus!A:A,MinHr_Weekly_Bonus!C:C), 0))</f>
        <v>0</v>
      </c>
      <c r="AB155" s="15">
        <f t="shared" si="9"/>
        <v>204.5333333</v>
      </c>
      <c r="AC155" s="18" t="str">
        <f t="shared" si="10"/>
        <v/>
      </c>
    </row>
    <row r="156">
      <c r="A156" s="10" t="s">
        <v>36</v>
      </c>
      <c r="B156" s="12">
        <v>46049.0</v>
      </c>
      <c r="C156" s="10" t="s">
        <v>49</v>
      </c>
      <c r="D156" s="10" t="s">
        <v>8</v>
      </c>
      <c r="E156" s="10" t="s">
        <v>11</v>
      </c>
      <c r="F156" s="10" t="s">
        <v>7</v>
      </c>
      <c r="G156" s="10" t="s">
        <v>44</v>
      </c>
      <c r="H156" s="10" t="s">
        <v>42</v>
      </c>
      <c r="I156" s="13">
        <v>0.4479166666666667</v>
      </c>
      <c r="J156" s="13">
        <v>0.7833333333333333</v>
      </c>
      <c r="K156" s="10">
        <v>30.0</v>
      </c>
      <c r="L156" s="13">
        <v>0.5</v>
      </c>
      <c r="M156" s="13">
        <v>0.7291666666666666</v>
      </c>
      <c r="N156" s="10">
        <v>30.0</v>
      </c>
      <c r="O156" s="10">
        <v>1.0</v>
      </c>
      <c r="P156" s="10">
        <v>59.0</v>
      </c>
      <c r="Q156" s="14">
        <f t="shared" si="1"/>
        <v>46052</v>
      </c>
      <c r="R156" s="15">
        <f t="shared" si="2"/>
        <v>7.55</v>
      </c>
      <c r="S156" s="16">
        <f>IFERROR(__xludf.DUMMYFUNCTION("IFERROR( INDEX( FILTER( Reference!$F:$F, Reference!$A:$A = $E156, Reference!$E:$E = $D156, Reference!$C:$C = $Q156),1),""RATE_NOT_FOUND"")"),24.0)</f>
        <v>24</v>
      </c>
      <c r="T156" s="15">
        <f t="shared" si="3"/>
        <v>181.2</v>
      </c>
      <c r="U156" s="15">
        <f t="shared" si="4"/>
        <v>5</v>
      </c>
      <c r="V156" s="17">
        <f t="shared" si="5"/>
        <v>11.8</v>
      </c>
      <c r="W156" s="18" t="str">
        <f t="shared" si="6"/>
        <v>Tuesday</v>
      </c>
      <c r="X156" s="18">
        <f t="shared" si="7"/>
        <v>0</v>
      </c>
      <c r="Y156" s="14">
        <f>IFERROR(__xludf.DUMMYFUNCTION("IFERROR( INDEX( FILTER(Reference!$D:$D, Reference!$A:$A=$E156, Reference!$C:$C=$Q156), 1),"""")"),46052.0)</f>
        <v>46052</v>
      </c>
      <c r="Z156" s="18">
        <f t="shared" si="8"/>
        <v>20.61666667</v>
      </c>
      <c r="AA156" s="18">
        <f>IF(Z156=0,0, IF(Z156&gt;=LOOKUP(Q156,MinHr_Weekly_Bonus!A:A,MinHr_Weekly_Bonus!B:B), LOOKUP(Q156,MinHr_Weekly_Bonus!A:A,MinHr_Weekly_Bonus!C:C), 0))</f>
        <v>0</v>
      </c>
      <c r="AB156" s="15">
        <f t="shared" si="9"/>
        <v>181.2</v>
      </c>
      <c r="AC156" s="18" t="str">
        <f t="shared" si="10"/>
        <v/>
      </c>
    </row>
    <row r="157">
      <c r="A157" s="10" t="s">
        <v>36</v>
      </c>
      <c r="B157" s="12">
        <v>46049.0</v>
      </c>
      <c r="C157" s="10" t="s">
        <v>79</v>
      </c>
      <c r="D157" s="10" t="s">
        <v>8</v>
      </c>
      <c r="E157" s="10" t="s">
        <v>11</v>
      </c>
      <c r="F157" s="10" t="s">
        <v>7</v>
      </c>
      <c r="G157" s="10" t="s">
        <v>44</v>
      </c>
      <c r="H157" s="10" t="s">
        <v>42</v>
      </c>
      <c r="I157" s="13">
        <v>0.3958333333333333</v>
      </c>
      <c r="J157" s="13">
        <v>0.7847222222222222</v>
      </c>
      <c r="K157" s="10">
        <v>30.0</v>
      </c>
      <c r="L157" s="13">
        <v>0.4791666666666667</v>
      </c>
      <c r="M157" s="13">
        <v>0.7361111111111112</v>
      </c>
      <c r="N157" s="10">
        <v>50.0</v>
      </c>
      <c r="O157" s="10">
        <v>1.0</v>
      </c>
      <c r="P157" s="10">
        <v>90.0</v>
      </c>
      <c r="Q157" s="14">
        <f t="shared" si="1"/>
        <v>46052</v>
      </c>
      <c r="R157" s="15">
        <f t="shared" si="2"/>
        <v>8.833333333</v>
      </c>
      <c r="S157" s="16">
        <f>IFERROR(__xludf.DUMMYFUNCTION("IFERROR( INDEX( FILTER( Reference!$F:$F, Reference!$A:$A = $E157, Reference!$E:$E = $D157, Reference!$C:$C = $Q157),1),""RATE_NOT_FOUND"")"),24.0)</f>
        <v>24</v>
      </c>
      <c r="T157" s="15">
        <f t="shared" si="3"/>
        <v>212</v>
      </c>
      <c r="U157" s="15">
        <f t="shared" si="4"/>
        <v>5.333333333</v>
      </c>
      <c r="V157" s="17">
        <f t="shared" si="5"/>
        <v>16.875</v>
      </c>
      <c r="W157" s="18" t="str">
        <f t="shared" si="6"/>
        <v>Tuesday</v>
      </c>
      <c r="X157" s="18">
        <f t="shared" si="7"/>
        <v>0</v>
      </c>
      <c r="Y157" s="14">
        <f>IFERROR(__xludf.DUMMYFUNCTION("IFERROR( INDEX( FILTER(Reference!$D:$D, Reference!$A:$A=$E157, Reference!$C:$C=$Q157), 1),"""")"),46052.0)</f>
        <v>46052</v>
      </c>
      <c r="Z157" s="18">
        <f t="shared" si="8"/>
        <v>15.41666667</v>
      </c>
      <c r="AA157" s="18">
        <f>IF(Z157=0,0, IF(Z157&gt;=LOOKUP(Q157,MinHr_Weekly_Bonus!A:A,MinHr_Weekly_Bonus!B:B), LOOKUP(Q157,MinHr_Weekly_Bonus!A:A,MinHr_Weekly_Bonus!C:C), 0))</f>
        <v>0</v>
      </c>
      <c r="AB157" s="15">
        <f t="shared" si="9"/>
        <v>212</v>
      </c>
      <c r="AC157" s="18" t="str">
        <f t="shared" si="10"/>
        <v/>
      </c>
    </row>
    <row r="158">
      <c r="A158" s="10" t="s">
        <v>36</v>
      </c>
      <c r="B158" s="12">
        <v>46049.0</v>
      </c>
      <c r="C158" s="10" t="s">
        <v>42</v>
      </c>
      <c r="D158" s="10" t="s">
        <v>9</v>
      </c>
      <c r="E158" s="10" t="s">
        <v>11</v>
      </c>
      <c r="F158" s="10" t="s">
        <v>7</v>
      </c>
      <c r="G158" s="10" t="s">
        <v>44</v>
      </c>
      <c r="H158" s="10" t="s">
        <v>42</v>
      </c>
      <c r="I158" s="13">
        <v>0.4236111111111111</v>
      </c>
      <c r="J158" s="13">
        <v>0.7777777777777778</v>
      </c>
      <c r="K158" s="10">
        <v>30.0</v>
      </c>
      <c r="L158" s="13">
        <v>0.4826388888888889</v>
      </c>
      <c r="M158" s="13">
        <v>0.7291666666666666</v>
      </c>
      <c r="N158" s="10">
        <v>70.0</v>
      </c>
      <c r="O158" s="10">
        <v>1.0</v>
      </c>
      <c r="P158" s="10">
        <v>61.0</v>
      </c>
      <c r="Q158" s="14">
        <f t="shared" si="1"/>
        <v>46052</v>
      </c>
      <c r="R158" s="15">
        <f t="shared" si="2"/>
        <v>8</v>
      </c>
      <c r="S158" s="16">
        <f>IFERROR(__xludf.DUMMYFUNCTION("IFERROR( INDEX( FILTER( Reference!$F:$F, Reference!$A:$A = $E158, Reference!$E:$E = $D158, Reference!$C:$C = $Q158),1),""RATE_NOT_FOUND"")"),26.0)</f>
        <v>26</v>
      </c>
      <c r="T158" s="15">
        <f t="shared" si="3"/>
        <v>208</v>
      </c>
      <c r="U158" s="15">
        <f t="shared" si="4"/>
        <v>4.75</v>
      </c>
      <c r="V158" s="17">
        <f t="shared" si="5"/>
        <v>12.84210526</v>
      </c>
      <c r="W158" s="18" t="str">
        <f t="shared" si="6"/>
        <v>Tuesday</v>
      </c>
      <c r="X158" s="18">
        <f t="shared" si="7"/>
        <v>0</v>
      </c>
      <c r="Y158" s="14">
        <f>IFERROR(__xludf.DUMMYFUNCTION("IFERROR( INDEX( FILTER(Reference!$D:$D, Reference!$A:$A=$E158, Reference!$C:$C=$Q158), 1),"""")"),46052.0)</f>
        <v>46052</v>
      </c>
      <c r="Z158" s="18">
        <f t="shared" si="8"/>
        <v>24.5</v>
      </c>
      <c r="AA158" s="18">
        <f>IF(Z158=0,0, IF(Z158&gt;=LOOKUP(Q158,MinHr_Weekly_Bonus!A:A,MinHr_Weekly_Bonus!B:B), LOOKUP(Q158,MinHr_Weekly_Bonus!A:A,MinHr_Weekly_Bonus!C:C), 0))</f>
        <v>0</v>
      </c>
      <c r="AB158" s="15">
        <f t="shared" si="9"/>
        <v>208</v>
      </c>
      <c r="AC158" s="18" t="str">
        <f t="shared" si="10"/>
        <v/>
      </c>
    </row>
    <row r="159">
      <c r="A159" s="10" t="s">
        <v>36</v>
      </c>
      <c r="B159" s="12">
        <v>46049.0</v>
      </c>
      <c r="C159" s="10" t="s">
        <v>70</v>
      </c>
      <c r="D159" s="10" t="s">
        <v>8</v>
      </c>
      <c r="E159" s="10" t="s">
        <v>11</v>
      </c>
      <c r="F159" s="10" t="s">
        <v>7</v>
      </c>
      <c r="G159" s="10" t="s">
        <v>44</v>
      </c>
      <c r="H159" s="10" t="s">
        <v>42</v>
      </c>
      <c r="I159" s="13">
        <v>0.4527777777777778</v>
      </c>
      <c r="J159" s="13">
        <v>0.7673611111111112</v>
      </c>
      <c r="K159" s="10">
        <v>30.0</v>
      </c>
      <c r="L159" s="13">
        <v>0.4791666666666667</v>
      </c>
      <c r="M159" s="13">
        <v>0.7291666666666666</v>
      </c>
      <c r="N159" s="10">
        <v>80.0</v>
      </c>
      <c r="O159" s="10">
        <v>1.0</v>
      </c>
      <c r="P159" s="10">
        <v>77.0</v>
      </c>
      <c r="Q159" s="14">
        <f t="shared" si="1"/>
        <v>46052</v>
      </c>
      <c r="R159" s="15">
        <f t="shared" si="2"/>
        <v>7.05</v>
      </c>
      <c r="S159" s="16">
        <f>IFERROR(__xludf.DUMMYFUNCTION("IFERROR( INDEX( FILTER( Reference!$F:$F, Reference!$A:$A = $E159, Reference!$E:$E = $D159, Reference!$C:$C = $Q159),1),""RATE_NOT_FOUND"")"),24.0)</f>
        <v>24</v>
      </c>
      <c r="T159" s="15">
        <f t="shared" si="3"/>
        <v>169.2</v>
      </c>
      <c r="U159" s="15">
        <f t="shared" si="4"/>
        <v>4.666666667</v>
      </c>
      <c r="V159" s="17">
        <f t="shared" si="5"/>
        <v>16.5</v>
      </c>
      <c r="W159" s="18" t="str">
        <f t="shared" si="6"/>
        <v>Tuesday</v>
      </c>
      <c r="X159" s="18">
        <f t="shared" si="7"/>
        <v>0</v>
      </c>
      <c r="Y159" s="14">
        <f>IFERROR(__xludf.DUMMYFUNCTION("IFERROR( INDEX( FILTER(Reference!$D:$D, Reference!$A:$A=$E159, Reference!$C:$C=$Q159), 1),"""")"),46052.0)</f>
        <v>46052</v>
      </c>
      <c r="Z159" s="18">
        <f t="shared" si="8"/>
        <v>19.85</v>
      </c>
      <c r="AA159" s="18">
        <f>IF(Z159=0,0, IF(Z159&gt;=LOOKUP(Q159,MinHr_Weekly_Bonus!A:A,MinHr_Weekly_Bonus!B:B), LOOKUP(Q159,MinHr_Weekly_Bonus!A:A,MinHr_Weekly_Bonus!C:C), 0))</f>
        <v>0</v>
      </c>
      <c r="AB159" s="15">
        <f t="shared" si="9"/>
        <v>169.2</v>
      </c>
      <c r="AC159" s="18" t="str">
        <f t="shared" si="10"/>
        <v/>
      </c>
    </row>
    <row r="160">
      <c r="A160" s="10" t="s">
        <v>36</v>
      </c>
      <c r="B160" s="12">
        <v>46049.0</v>
      </c>
      <c r="C160" s="10" t="s">
        <v>71</v>
      </c>
      <c r="D160" s="10" t="s">
        <v>8</v>
      </c>
      <c r="E160" s="10" t="s">
        <v>11</v>
      </c>
      <c r="F160" s="10" t="s">
        <v>7</v>
      </c>
      <c r="G160" s="10" t="s">
        <v>44</v>
      </c>
      <c r="H160" s="10" t="s">
        <v>42</v>
      </c>
      <c r="I160" s="13">
        <v>0.44722222222222224</v>
      </c>
      <c r="J160" s="13">
        <v>0.8097222222222222</v>
      </c>
      <c r="K160" s="10">
        <v>30.0</v>
      </c>
      <c r="L160" s="13">
        <v>0.4826388888888889</v>
      </c>
      <c r="M160" s="13">
        <v>0.7291666666666666</v>
      </c>
      <c r="N160" s="10">
        <v>70.0</v>
      </c>
      <c r="O160" s="10">
        <v>1.0</v>
      </c>
      <c r="P160" s="10">
        <v>92.0</v>
      </c>
      <c r="Q160" s="14">
        <f t="shared" si="1"/>
        <v>46052</v>
      </c>
      <c r="R160" s="15">
        <f t="shared" si="2"/>
        <v>8.2</v>
      </c>
      <c r="S160" s="16">
        <f>IFERROR(__xludf.DUMMYFUNCTION("IFERROR( INDEX( FILTER( Reference!$F:$F, Reference!$A:$A = $E160, Reference!$E:$E = $D160, Reference!$C:$C = $Q160),1),""RATE_NOT_FOUND"")"),24.0)</f>
        <v>24</v>
      </c>
      <c r="T160" s="15">
        <f t="shared" si="3"/>
        <v>196.8</v>
      </c>
      <c r="U160" s="15">
        <f t="shared" si="4"/>
        <v>4.75</v>
      </c>
      <c r="V160" s="17">
        <f t="shared" si="5"/>
        <v>19.36842105</v>
      </c>
      <c r="W160" s="18" t="str">
        <f t="shared" si="6"/>
        <v>Tuesday</v>
      </c>
      <c r="X160" s="18">
        <f t="shared" si="7"/>
        <v>0</v>
      </c>
      <c r="Y160" s="14">
        <f>IFERROR(__xludf.DUMMYFUNCTION("IFERROR( INDEX( FILTER(Reference!$D:$D, Reference!$A:$A=$E160, Reference!$C:$C=$Q160), 1),"""")"),46052.0)</f>
        <v>46052</v>
      </c>
      <c r="Z160" s="18">
        <f t="shared" si="8"/>
        <v>14.25</v>
      </c>
      <c r="AA160" s="18">
        <f>IF(Z160=0,0, IF(Z160&gt;=LOOKUP(Q160,MinHr_Weekly_Bonus!A:A,MinHr_Weekly_Bonus!B:B), LOOKUP(Q160,MinHr_Weekly_Bonus!A:A,MinHr_Weekly_Bonus!C:C), 0))</f>
        <v>0</v>
      </c>
      <c r="AB160" s="15">
        <f t="shared" si="9"/>
        <v>196.8</v>
      </c>
      <c r="AC160" s="18" t="str">
        <f t="shared" si="10"/>
        <v/>
      </c>
    </row>
    <row r="161">
      <c r="A161" s="10" t="s">
        <v>36</v>
      </c>
      <c r="B161" s="12">
        <v>46049.0</v>
      </c>
      <c r="C161" s="10" t="s">
        <v>63</v>
      </c>
      <c r="D161" s="10" t="s">
        <v>8</v>
      </c>
      <c r="E161" s="10" t="s">
        <v>11</v>
      </c>
      <c r="F161" s="10" t="s">
        <v>7</v>
      </c>
      <c r="G161" s="10" t="s">
        <v>44</v>
      </c>
      <c r="H161" s="10" t="s">
        <v>42</v>
      </c>
      <c r="I161" s="13">
        <v>0.4486111111111111</v>
      </c>
      <c r="J161" s="13">
        <v>0.7631944444444444</v>
      </c>
      <c r="K161" s="10">
        <v>30.0</v>
      </c>
      <c r="L161" s="13">
        <v>0.4791666666666667</v>
      </c>
      <c r="M161" s="13">
        <v>0.7291666666666666</v>
      </c>
      <c r="N161" s="10">
        <v>80.0</v>
      </c>
      <c r="O161" s="10">
        <v>1.0</v>
      </c>
      <c r="P161" s="10">
        <v>88.0</v>
      </c>
      <c r="Q161" s="14">
        <f t="shared" si="1"/>
        <v>46052</v>
      </c>
      <c r="R161" s="15">
        <f t="shared" si="2"/>
        <v>7.05</v>
      </c>
      <c r="S161" s="16">
        <f>IFERROR(__xludf.DUMMYFUNCTION("IFERROR( INDEX( FILTER( Reference!$F:$F, Reference!$A:$A = $E161, Reference!$E:$E = $D161, Reference!$C:$C = $Q161),1),""RATE_NOT_FOUND"")"),24.0)</f>
        <v>24</v>
      </c>
      <c r="T161" s="15">
        <f t="shared" si="3"/>
        <v>169.2</v>
      </c>
      <c r="U161" s="15">
        <f t="shared" si="4"/>
        <v>4.666666667</v>
      </c>
      <c r="V161" s="17">
        <f t="shared" si="5"/>
        <v>18.85714286</v>
      </c>
      <c r="W161" s="18" t="str">
        <f t="shared" si="6"/>
        <v>Tuesday</v>
      </c>
      <c r="X161" s="18">
        <f t="shared" si="7"/>
        <v>0</v>
      </c>
      <c r="Y161" s="14">
        <f>IFERROR(__xludf.DUMMYFUNCTION("IFERROR( INDEX( FILTER(Reference!$D:$D, Reference!$A:$A=$E161, Reference!$C:$C=$Q161), 1),"""")"),46052.0)</f>
        <v>46052</v>
      </c>
      <c r="Z161" s="18">
        <f t="shared" si="8"/>
        <v>19.58333333</v>
      </c>
      <c r="AA161" s="18">
        <f>IF(Z161=0,0, IF(Z161&gt;=LOOKUP(Q161,MinHr_Weekly_Bonus!A:A,MinHr_Weekly_Bonus!B:B), LOOKUP(Q161,MinHr_Weekly_Bonus!A:A,MinHr_Weekly_Bonus!C:C), 0))</f>
        <v>0</v>
      </c>
      <c r="AB161" s="15">
        <f t="shared" si="9"/>
        <v>169.2</v>
      </c>
      <c r="AC161" s="18" t="str">
        <f t="shared" si="10"/>
        <v/>
      </c>
    </row>
    <row r="162">
      <c r="A162" s="10" t="s">
        <v>36</v>
      </c>
      <c r="B162" s="12">
        <v>46049.0</v>
      </c>
      <c r="C162" s="10" t="s">
        <v>80</v>
      </c>
      <c r="D162" s="10" t="s">
        <v>8</v>
      </c>
      <c r="E162" s="10" t="s">
        <v>6</v>
      </c>
      <c r="F162" s="10" t="s">
        <v>7</v>
      </c>
      <c r="G162" s="10" t="s">
        <v>38</v>
      </c>
      <c r="I162" s="13">
        <v>0.3958333333333333</v>
      </c>
      <c r="J162" s="13">
        <v>0.4375</v>
      </c>
      <c r="K162" s="10">
        <v>0.0</v>
      </c>
      <c r="O162" s="10">
        <v>0.0</v>
      </c>
      <c r="P162" s="10">
        <v>0.0</v>
      </c>
      <c r="Q162" s="14">
        <f t="shared" si="1"/>
        <v>46052</v>
      </c>
      <c r="R162" s="15">
        <f t="shared" si="2"/>
        <v>1</v>
      </c>
      <c r="S162" s="16">
        <f>IFERROR(__xludf.DUMMYFUNCTION("IFERROR( INDEX( FILTER( Reference!$F:$F, Reference!$A:$A = $E162, Reference!$E:$E = $D162, Reference!$C:$C = $Q162),1),""RATE_NOT_FOUND"")"),24.0)</f>
        <v>24</v>
      </c>
      <c r="T162" s="15">
        <f t="shared" si="3"/>
        <v>24</v>
      </c>
      <c r="U162" s="15">
        <f t="shared" si="4"/>
        <v>0</v>
      </c>
      <c r="V162" s="17">
        <f t="shared" si="5"/>
        <v>0</v>
      </c>
      <c r="W162" s="18" t="str">
        <f t="shared" si="6"/>
        <v>Tuesday</v>
      </c>
      <c r="X162" s="18">
        <f t="shared" si="7"/>
        <v>0</v>
      </c>
      <c r="Y162" s="14">
        <f>IFERROR(__xludf.DUMMYFUNCTION("IFERROR( INDEX( FILTER(Reference!$D:$D, Reference!$A:$A=$E162, Reference!$C:$C=$Q162), 1),"""")"),46052.0)</f>
        <v>46052</v>
      </c>
      <c r="Z162" s="18">
        <f t="shared" si="8"/>
        <v>0</v>
      </c>
      <c r="AA162" s="18">
        <f>IF(Z162=0,0, IF(Z162&gt;=LOOKUP(Q162,MinHr_Weekly_Bonus!A:A,MinHr_Weekly_Bonus!B:B), LOOKUP(Q162,MinHr_Weekly_Bonus!A:A,MinHr_Weekly_Bonus!C:C), 0))</f>
        <v>0</v>
      </c>
      <c r="AB162" s="15">
        <f t="shared" si="9"/>
        <v>24</v>
      </c>
      <c r="AC162" s="18" t="str">
        <f t="shared" si="10"/>
        <v/>
      </c>
    </row>
    <row r="163">
      <c r="A163" s="10" t="s">
        <v>36</v>
      </c>
      <c r="B163" s="12">
        <v>46050.0</v>
      </c>
      <c r="C163" s="10" t="s">
        <v>54</v>
      </c>
      <c r="D163" s="10" t="s">
        <v>8</v>
      </c>
      <c r="E163" s="10" t="s">
        <v>6</v>
      </c>
      <c r="F163" s="10" t="s">
        <v>7</v>
      </c>
      <c r="G163" s="10" t="s">
        <v>38</v>
      </c>
      <c r="H163" s="10" t="s">
        <v>37</v>
      </c>
      <c r="I163" s="13">
        <v>0.39652777777777776</v>
      </c>
      <c r="J163" s="13">
        <v>0.43819444444444444</v>
      </c>
      <c r="K163" s="10">
        <v>0.0</v>
      </c>
      <c r="O163" s="10">
        <v>0.0</v>
      </c>
      <c r="P163" s="10">
        <v>88.0</v>
      </c>
      <c r="Q163" s="14">
        <f t="shared" si="1"/>
        <v>46052</v>
      </c>
      <c r="R163" s="15">
        <f t="shared" si="2"/>
        <v>1</v>
      </c>
      <c r="S163" s="16">
        <f>IFERROR(__xludf.DUMMYFUNCTION("IFERROR( INDEX( FILTER( Reference!$F:$F, Reference!$A:$A = $E163, Reference!$E:$E = $D163, Reference!$C:$C = $Q163),1),""RATE_NOT_FOUND"")"),24.0)</f>
        <v>24</v>
      </c>
      <c r="T163" s="15">
        <f t="shared" si="3"/>
        <v>24</v>
      </c>
      <c r="U163" s="15">
        <f t="shared" si="4"/>
        <v>0</v>
      </c>
      <c r="V163" s="17">
        <f t="shared" si="5"/>
        <v>0</v>
      </c>
      <c r="W163" s="18" t="str">
        <f t="shared" si="6"/>
        <v>Wednesday</v>
      </c>
      <c r="X163" s="18">
        <f t="shared" si="7"/>
        <v>0</v>
      </c>
      <c r="Y163" s="14">
        <f>IFERROR(__xludf.DUMMYFUNCTION("IFERROR( INDEX( FILTER(Reference!$D:$D, Reference!$A:$A=$E163, Reference!$C:$C=$Q163), 1),"""")"),46052.0)</f>
        <v>46052</v>
      </c>
      <c r="Z163" s="18">
        <f t="shared" si="8"/>
        <v>15.4</v>
      </c>
      <c r="AA163" s="18">
        <f>IF(Z163=0,0, IF(Z163&gt;=LOOKUP(Q163,MinHr_Weekly_Bonus!A:A,MinHr_Weekly_Bonus!B:B), LOOKUP(Q163,MinHr_Weekly_Bonus!A:A,MinHr_Weekly_Bonus!C:C), 0))</f>
        <v>0</v>
      </c>
      <c r="AB163" s="15">
        <f t="shared" si="9"/>
        <v>24</v>
      </c>
      <c r="AC163" s="18" t="str">
        <f t="shared" si="10"/>
        <v/>
      </c>
    </row>
    <row r="164">
      <c r="A164" s="10" t="s">
        <v>36</v>
      </c>
      <c r="B164" s="12">
        <v>46050.0</v>
      </c>
      <c r="C164" s="10" t="s">
        <v>43</v>
      </c>
      <c r="D164" s="10" t="s">
        <v>8</v>
      </c>
      <c r="E164" s="10" t="s">
        <v>6</v>
      </c>
      <c r="F164" s="10" t="s">
        <v>7</v>
      </c>
      <c r="G164" s="10" t="s">
        <v>44</v>
      </c>
      <c r="H164" s="10" t="s">
        <v>37</v>
      </c>
      <c r="I164" s="13">
        <v>0.39444444444444443</v>
      </c>
      <c r="J164" s="13">
        <v>0.7875</v>
      </c>
      <c r="K164" s="10">
        <v>30.0</v>
      </c>
      <c r="L164" s="13">
        <v>0.4777777777777778</v>
      </c>
      <c r="M164" s="13">
        <v>0.7291666666666666</v>
      </c>
      <c r="N164" s="10">
        <v>50.0</v>
      </c>
      <c r="O164" s="10">
        <v>1.0</v>
      </c>
      <c r="P164" s="10">
        <v>108.0</v>
      </c>
      <c r="Q164" s="14">
        <f t="shared" si="1"/>
        <v>46052</v>
      </c>
      <c r="R164" s="15">
        <f t="shared" si="2"/>
        <v>8.933333333</v>
      </c>
      <c r="S164" s="16">
        <f>IFERROR(__xludf.DUMMYFUNCTION("IFERROR( INDEX( FILTER( Reference!$F:$F, Reference!$A:$A = $E164, Reference!$E:$E = $D164, Reference!$C:$C = $Q164),1),""RATE_NOT_FOUND"")"),24.0)</f>
        <v>24</v>
      </c>
      <c r="T164" s="15">
        <f t="shared" si="3"/>
        <v>214.4</v>
      </c>
      <c r="U164" s="15">
        <f t="shared" si="4"/>
        <v>5.2</v>
      </c>
      <c r="V164" s="17">
        <f t="shared" si="5"/>
        <v>20.76923077</v>
      </c>
      <c r="W164" s="18" t="str">
        <f t="shared" si="6"/>
        <v>Wednesday</v>
      </c>
      <c r="X164" s="18">
        <f t="shared" si="7"/>
        <v>0</v>
      </c>
      <c r="Y164" s="14">
        <f>IFERROR(__xludf.DUMMYFUNCTION("IFERROR( INDEX( FILTER(Reference!$D:$D, Reference!$A:$A=$E164, Reference!$C:$C=$Q164), 1),"""")"),46052.0)</f>
        <v>46052</v>
      </c>
      <c r="Z164" s="18">
        <f t="shared" si="8"/>
        <v>19.7</v>
      </c>
      <c r="AA164" s="18">
        <f>IF(Z164=0,0, IF(Z164&gt;=LOOKUP(Q164,MinHr_Weekly_Bonus!A:A,MinHr_Weekly_Bonus!B:B), LOOKUP(Q164,MinHr_Weekly_Bonus!A:A,MinHr_Weekly_Bonus!C:C), 0))</f>
        <v>0</v>
      </c>
      <c r="AB164" s="15">
        <f t="shared" si="9"/>
        <v>214.4</v>
      </c>
      <c r="AC164" s="18" t="str">
        <f t="shared" si="10"/>
        <v/>
      </c>
    </row>
    <row r="165">
      <c r="A165" s="10" t="s">
        <v>36</v>
      </c>
      <c r="B165" s="12">
        <v>46050.0</v>
      </c>
      <c r="C165" s="10" t="s">
        <v>37</v>
      </c>
      <c r="D165" s="10" t="s">
        <v>9</v>
      </c>
      <c r="E165" s="10" t="s">
        <v>6</v>
      </c>
      <c r="F165" s="10" t="s">
        <v>7</v>
      </c>
      <c r="G165" s="10" t="s">
        <v>44</v>
      </c>
      <c r="H165" s="10" t="s">
        <v>37</v>
      </c>
      <c r="I165" s="13">
        <v>0.4236111111111111</v>
      </c>
      <c r="J165" s="13">
        <v>0.7916666666666666</v>
      </c>
      <c r="K165" s="10">
        <v>30.0</v>
      </c>
      <c r="L165" s="13">
        <v>0.4791666666666667</v>
      </c>
      <c r="M165" s="13">
        <v>0.7291666666666666</v>
      </c>
      <c r="N165" s="10">
        <v>50.0</v>
      </c>
      <c r="O165" s="10">
        <v>1.0</v>
      </c>
      <c r="P165" s="10">
        <v>116.0</v>
      </c>
      <c r="Q165" s="14">
        <f t="shared" si="1"/>
        <v>46052</v>
      </c>
      <c r="R165" s="15">
        <f t="shared" si="2"/>
        <v>8.333333333</v>
      </c>
      <c r="S165" s="16">
        <f>IFERROR(__xludf.DUMMYFUNCTION("IFERROR( INDEX( FILTER( Reference!$F:$F, Reference!$A:$A = $E165, Reference!$E:$E = $D165, Reference!$C:$C = $Q165),1),""RATE_NOT_FOUND"")"),27.0)</f>
        <v>27</v>
      </c>
      <c r="T165" s="15">
        <f t="shared" si="3"/>
        <v>225</v>
      </c>
      <c r="U165" s="15">
        <f t="shared" si="4"/>
        <v>5.166666667</v>
      </c>
      <c r="V165" s="17">
        <f t="shared" si="5"/>
        <v>22.4516129</v>
      </c>
      <c r="W165" s="18" t="str">
        <f t="shared" si="6"/>
        <v>Wednesday</v>
      </c>
      <c r="X165" s="18">
        <f t="shared" si="7"/>
        <v>0</v>
      </c>
      <c r="Y165" s="14">
        <f>IFERROR(__xludf.DUMMYFUNCTION("IFERROR( INDEX( FILTER(Reference!$D:$D, Reference!$A:$A=$E165, Reference!$C:$C=$Q165), 1),"""")"),46052.0)</f>
        <v>46052</v>
      </c>
      <c r="Z165" s="18">
        <f t="shared" si="8"/>
        <v>25.83333333</v>
      </c>
      <c r="AA165" s="18">
        <f>IF(Z165=0,0, IF(Z165&gt;=LOOKUP(Q165,MinHr_Weekly_Bonus!A:A,MinHr_Weekly_Bonus!B:B), LOOKUP(Q165,MinHr_Weekly_Bonus!A:A,MinHr_Weekly_Bonus!C:C), 0))</f>
        <v>150</v>
      </c>
      <c r="AB165" s="15">
        <f t="shared" si="9"/>
        <v>225</v>
      </c>
      <c r="AC165" s="18" t="str">
        <f t="shared" si="10"/>
        <v/>
      </c>
    </row>
    <row r="166">
      <c r="A166" s="10" t="s">
        <v>36</v>
      </c>
      <c r="B166" s="12">
        <v>46050.0</v>
      </c>
      <c r="C166" s="10" t="s">
        <v>65</v>
      </c>
      <c r="D166" s="10" t="s">
        <v>8</v>
      </c>
      <c r="E166" s="10" t="s">
        <v>11</v>
      </c>
      <c r="F166" s="10" t="s">
        <v>7</v>
      </c>
      <c r="G166" s="10" t="s">
        <v>44</v>
      </c>
      <c r="H166" s="10" t="s">
        <v>47</v>
      </c>
      <c r="I166" s="13">
        <v>0.4479166666666667</v>
      </c>
      <c r="J166" s="13">
        <v>0.7638888888888888</v>
      </c>
      <c r="K166" s="10">
        <v>30.0</v>
      </c>
      <c r="L166" s="13">
        <v>0.4722222222222222</v>
      </c>
      <c r="M166" s="13">
        <v>0.7291666666666666</v>
      </c>
      <c r="N166" s="10">
        <v>50.0</v>
      </c>
      <c r="O166" s="10">
        <v>1.0</v>
      </c>
      <c r="P166" s="10">
        <v>109.0</v>
      </c>
      <c r="Q166" s="14">
        <f t="shared" si="1"/>
        <v>46052</v>
      </c>
      <c r="R166" s="15">
        <f t="shared" si="2"/>
        <v>7.083333333</v>
      </c>
      <c r="S166" s="16">
        <f>IFERROR(__xludf.DUMMYFUNCTION("IFERROR( INDEX( FILTER( Reference!$F:$F, Reference!$A:$A = $E166, Reference!$E:$E = $D166, Reference!$C:$C = $Q166),1),""RATE_NOT_FOUND"")"),24.0)</f>
        <v>24</v>
      </c>
      <c r="T166" s="15">
        <f t="shared" si="3"/>
        <v>170</v>
      </c>
      <c r="U166" s="15">
        <f t="shared" si="4"/>
        <v>5.333333333</v>
      </c>
      <c r="V166" s="17">
        <f t="shared" si="5"/>
        <v>20.4375</v>
      </c>
      <c r="W166" s="18" t="str">
        <f t="shared" si="6"/>
        <v>Wednesday</v>
      </c>
      <c r="X166" s="18">
        <f t="shared" si="7"/>
        <v>0</v>
      </c>
      <c r="Y166" s="14">
        <f>IFERROR(__xludf.DUMMYFUNCTION("IFERROR( INDEX( FILTER(Reference!$D:$D, Reference!$A:$A=$E166, Reference!$C:$C=$Q166), 1),"""")"),46052.0)</f>
        <v>46052</v>
      </c>
      <c r="Z166" s="18">
        <f t="shared" si="8"/>
        <v>20.83333333</v>
      </c>
      <c r="AA166" s="18">
        <f>IF(Z166=0,0, IF(Z166&gt;=LOOKUP(Q166,MinHr_Weekly_Bonus!A:A,MinHr_Weekly_Bonus!B:B), LOOKUP(Q166,MinHr_Weekly_Bonus!A:A,MinHr_Weekly_Bonus!C:C), 0))</f>
        <v>0</v>
      </c>
      <c r="AB166" s="15">
        <f t="shared" si="9"/>
        <v>170</v>
      </c>
      <c r="AC166" s="18" t="str">
        <f t="shared" si="10"/>
        <v/>
      </c>
    </row>
    <row r="167">
      <c r="A167" s="10" t="s">
        <v>36</v>
      </c>
      <c r="B167" s="12">
        <v>46050.0</v>
      </c>
      <c r="C167" s="10" t="s">
        <v>79</v>
      </c>
      <c r="D167" s="10" t="s">
        <v>8</v>
      </c>
      <c r="E167" s="10" t="s">
        <v>11</v>
      </c>
      <c r="F167" s="10" t="s">
        <v>7</v>
      </c>
      <c r="G167" s="10" t="s">
        <v>44</v>
      </c>
      <c r="H167" s="10" t="s">
        <v>47</v>
      </c>
      <c r="I167" s="13">
        <v>0.44513888888888886</v>
      </c>
      <c r="J167" s="13">
        <v>0.7659722222222223</v>
      </c>
      <c r="K167" s="10">
        <v>30.0</v>
      </c>
      <c r="L167" s="13">
        <v>0.4861111111111111</v>
      </c>
      <c r="M167" s="13">
        <v>0.7291666666666666</v>
      </c>
      <c r="N167" s="10">
        <v>50.0</v>
      </c>
      <c r="O167" s="10">
        <v>1.0</v>
      </c>
      <c r="P167" s="10">
        <v>67.0</v>
      </c>
      <c r="Q167" s="14">
        <f t="shared" si="1"/>
        <v>46052</v>
      </c>
      <c r="R167" s="15">
        <f t="shared" si="2"/>
        <v>7.2</v>
      </c>
      <c r="S167" s="16">
        <f>IFERROR(__xludf.DUMMYFUNCTION("IFERROR( INDEX( FILTER( Reference!$F:$F, Reference!$A:$A = $E167, Reference!$E:$E = $D167, Reference!$C:$C = $Q167),1),""RATE_NOT_FOUND"")"),24.0)</f>
        <v>24</v>
      </c>
      <c r="T167" s="15">
        <f t="shared" si="3"/>
        <v>172.8</v>
      </c>
      <c r="U167" s="15">
        <f t="shared" si="4"/>
        <v>5</v>
      </c>
      <c r="V167" s="17">
        <f t="shared" si="5"/>
        <v>13.4</v>
      </c>
      <c r="W167" s="18" t="str">
        <f t="shared" si="6"/>
        <v>Wednesday</v>
      </c>
      <c r="X167" s="18">
        <f t="shared" si="7"/>
        <v>0</v>
      </c>
      <c r="Y167" s="14">
        <f>IFERROR(__xludf.DUMMYFUNCTION("IFERROR( INDEX( FILTER(Reference!$D:$D, Reference!$A:$A=$E167, Reference!$C:$C=$Q167), 1),"""")"),46052.0)</f>
        <v>46052</v>
      </c>
      <c r="Z167" s="18">
        <f t="shared" si="8"/>
        <v>15.41666667</v>
      </c>
      <c r="AA167" s="18">
        <f>IF(Z167=0,0, IF(Z167&gt;=LOOKUP(Q167,MinHr_Weekly_Bonus!A:A,MinHr_Weekly_Bonus!B:B), LOOKUP(Q167,MinHr_Weekly_Bonus!A:A,MinHr_Weekly_Bonus!C:C), 0))</f>
        <v>0</v>
      </c>
      <c r="AB167" s="15">
        <f t="shared" si="9"/>
        <v>172.8</v>
      </c>
      <c r="AC167" s="18" t="str">
        <f t="shared" si="10"/>
        <v/>
      </c>
    </row>
    <row r="168">
      <c r="A168" s="10" t="s">
        <v>36</v>
      </c>
      <c r="B168" s="12">
        <v>46050.0</v>
      </c>
      <c r="C168" s="10" t="s">
        <v>68</v>
      </c>
      <c r="D168" s="10" t="s">
        <v>8</v>
      </c>
      <c r="E168" s="10" t="s">
        <v>11</v>
      </c>
      <c r="F168" s="10" t="s">
        <v>7</v>
      </c>
      <c r="G168" s="10" t="s">
        <v>44</v>
      </c>
      <c r="H168" s="10" t="s">
        <v>47</v>
      </c>
      <c r="I168" s="13">
        <v>0.4479166666666667</v>
      </c>
      <c r="J168" s="13">
        <v>0.7798611111111111</v>
      </c>
      <c r="K168" s="10">
        <v>30.0</v>
      </c>
      <c r="L168" s="13">
        <v>0.4791666666666667</v>
      </c>
      <c r="M168" s="13">
        <v>0.7291666666666666</v>
      </c>
      <c r="N168" s="10">
        <v>50.0</v>
      </c>
      <c r="O168" s="10">
        <v>1.0</v>
      </c>
      <c r="P168" s="10">
        <v>51.0</v>
      </c>
      <c r="Q168" s="14">
        <f t="shared" si="1"/>
        <v>46052</v>
      </c>
      <c r="R168" s="15">
        <f t="shared" si="2"/>
        <v>7.466666667</v>
      </c>
      <c r="S168" s="16">
        <f>IFERROR(__xludf.DUMMYFUNCTION("IFERROR( INDEX( FILTER( Reference!$F:$F, Reference!$A:$A = $E168, Reference!$E:$E = $D168, Reference!$C:$C = $Q168),1),""RATE_NOT_FOUND"")"),24.0)</f>
        <v>24</v>
      </c>
      <c r="T168" s="15">
        <f t="shared" si="3"/>
        <v>179.2</v>
      </c>
      <c r="U168" s="15">
        <f t="shared" si="4"/>
        <v>5.166666667</v>
      </c>
      <c r="V168" s="17">
        <f t="shared" si="5"/>
        <v>9.870967742</v>
      </c>
      <c r="W168" s="18" t="str">
        <f t="shared" si="6"/>
        <v>Wednesday</v>
      </c>
      <c r="X168" s="18">
        <f t="shared" si="7"/>
        <v>0</v>
      </c>
      <c r="Y168" s="14">
        <f>IFERROR(__xludf.DUMMYFUNCTION("IFERROR( INDEX( FILTER(Reference!$D:$D, Reference!$A:$A=$E168, Reference!$C:$C=$Q168), 1),"""")"),46052.0)</f>
        <v>46052</v>
      </c>
      <c r="Z168" s="18">
        <f t="shared" si="8"/>
        <v>26</v>
      </c>
      <c r="AA168" s="18">
        <f>IF(Z168=0,0, IF(Z168&gt;=LOOKUP(Q168,MinHr_Weekly_Bonus!A:A,MinHr_Weekly_Bonus!B:B), LOOKUP(Q168,MinHr_Weekly_Bonus!A:A,MinHr_Weekly_Bonus!C:C), 0))</f>
        <v>150</v>
      </c>
      <c r="AB168" s="15">
        <f t="shared" si="9"/>
        <v>179.2</v>
      </c>
      <c r="AC168" s="18" t="str">
        <f t="shared" si="10"/>
        <v/>
      </c>
    </row>
    <row r="169">
      <c r="A169" s="10" t="s">
        <v>36</v>
      </c>
      <c r="B169" s="12">
        <v>46050.0</v>
      </c>
      <c r="C169" s="10" t="s">
        <v>49</v>
      </c>
      <c r="D169" s="10" t="s">
        <v>8</v>
      </c>
      <c r="E169" s="10" t="s">
        <v>11</v>
      </c>
      <c r="F169" s="10" t="s">
        <v>7</v>
      </c>
      <c r="G169" s="10" t="s">
        <v>44</v>
      </c>
      <c r="H169" s="10" t="s">
        <v>47</v>
      </c>
      <c r="I169" s="13">
        <v>0.4513888888888889</v>
      </c>
      <c r="J169" s="13">
        <v>0.7777777777777778</v>
      </c>
      <c r="K169" s="10">
        <v>30.0</v>
      </c>
      <c r="L169" s="13">
        <v>0.48125</v>
      </c>
      <c r="M169" s="13">
        <v>0.7291666666666666</v>
      </c>
      <c r="N169" s="10">
        <v>55.0</v>
      </c>
      <c r="O169" s="10">
        <v>1.0</v>
      </c>
      <c r="P169" s="10">
        <v>72.0</v>
      </c>
      <c r="Q169" s="14">
        <f t="shared" si="1"/>
        <v>46052</v>
      </c>
      <c r="R169" s="15">
        <f t="shared" si="2"/>
        <v>7.333333333</v>
      </c>
      <c r="S169" s="16">
        <f>IFERROR(__xludf.DUMMYFUNCTION("IFERROR( INDEX( FILTER( Reference!$F:$F, Reference!$A:$A = $E169, Reference!$E:$E = $D169, Reference!$C:$C = $Q169),1),""RATE_NOT_FOUND"")"),24.0)</f>
        <v>24</v>
      </c>
      <c r="T169" s="15">
        <f t="shared" si="3"/>
        <v>176</v>
      </c>
      <c r="U169" s="15">
        <f t="shared" si="4"/>
        <v>5.033333333</v>
      </c>
      <c r="V169" s="17">
        <f t="shared" si="5"/>
        <v>14.30463576</v>
      </c>
      <c r="W169" s="18" t="str">
        <f t="shared" si="6"/>
        <v>Wednesday</v>
      </c>
      <c r="X169" s="18">
        <f t="shared" si="7"/>
        <v>0</v>
      </c>
      <c r="Y169" s="14">
        <f>IFERROR(__xludf.DUMMYFUNCTION("IFERROR( INDEX( FILTER(Reference!$D:$D, Reference!$A:$A=$E169, Reference!$C:$C=$Q169), 1),"""")"),46052.0)</f>
        <v>46052</v>
      </c>
      <c r="Z169" s="18">
        <f t="shared" si="8"/>
        <v>20.61666667</v>
      </c>
      <c r="AA169" s="18">
        <f>IF(Z169=0,0, IF(Z169&gt;=LOOKUP(Q169,MinHr_Weekly_Bonus!A:A,MinHr_Weekly_Bonus!B:B), LOOKUP(Q169,MinHr_Weekly_Bonus!A:A,MinHr_Weekly_Bonus!C:C), 0))</f>
        <v>0</v>
      </c>
      <c r="AB169" s="15">
        <f t="shared" si="9"/>
        <v>176</v>
      </c>
      <c r="AC169" s="18" t="str">
        <f t="shared" si="10"/>
        <v/>
      </c>
    </row>
    <row r="170">
      <c r="A170" s="10" t="s">
        <v>36</v>
      </c>
      <c r="B170" s="12">
        <v>46050.0</v>
      </c>
      <c r="C170" s="10" t="s">
        <v>48</v>
      </c>
      <c r="D170" s="10" t="s">
        <v>8</v>
      </c>
      <c r="E170" s="10" t="s">
        <v>11</v>
      </c>
      <c r="F170" s="10" t="s">
        <v>7</v>
      </c>
      <c r="G170" s="10" t="s">
        <v>44</v>
      </c>
      <c r="H170" s="10" t="s">
        <v>47</v>
      </c>
      <c r="I170" s="13">
        <v>0.4444444444444444</v>
      </c>
      <c r="J170" s="13">
        <v>0.7673611111111112</v>
      </c>
      <c r="K170" s="10">
        <v>30.0</v>
      </c>
      <c r="L170" s="13">
        <v>0.48125</v>
      </c>
      <c r="M170" s="13">
        <v>0.7291666666666666</v>
      </c>
      <c r="N170" s="10">
        <v>55.0</v>
      </c>
      <c r="O170" s="10">
        <v>1.0</v>
      </c>
      <c r="P170" s="10">
        <v>78.0</v>
      </c>
      <c r="Q170" s="14">
        <f t="shared" si="1"/>
        <v>46052</v>
      </c>
      <c r="R170" s="15">
        <f t="shared" si="2"/>
        <v>7.25</v>
      </c>
      <c r="S170" s="16">
        <f>IFERROR(__xludf.DUMMYFUNCTION("IFERROR( INDEX( FILTER( Reference!$F:$F, Reference!$A:$A = $E170, Reference!$E:$E = $D170, Reference!$C:$C = $Q170),1),""RATE_NOT_FOUND"")"),24.0)</f>
        <v>24</v>
      </c>
      <c r="T170" s="15">
        <f t="shared" si="3"/>
        <v>174</v>
      </c>
      <c r="U170" s="15">
        <f t="shared" si="4"/>
        <v>5.033333333</v>
      </c>
      <c r="V170" s="17">
        <f t="shared" si="5"/>
        <v>15.49668874</v>
      </c>
      <c r="W170" s="18" t="str">
        <f t="shared" si="6"/>
        <v>Wednesday</v>
      </c>
      <c r="X170" s="18">
        <f t="shared" si="7"/>
        <v>0</v>
      </c>
      <c r="Y170" s="14">
        <f>IFERROR(__xludf.DUMMYFUNCTION("IFERROR( INDEX( FILTER(Reference!$D:$D, Reference!$A:$A=$E170, Reference!$C:$C=$Q170), 1),"""")"),46052.0)</f>
        <v>46052</v>
      </c>
      <c r="Z170" s="18">
        <f t="shared" si="8"/>
        <v>15.45</v>
      </c>
      <c r="AA170" s="18">
        <f>IF(Z170=0,0, IF(Z170&gt;=LOOKUP(Q170,MinHr_Weekly_Bonus!A:A,MinHr_Weekly_Bonus!B:B), LOOKUP(Q170,MinHr_Weekly_Bonus!A:A,MinHr_Weekly_Bonus!C:C), 0))</f>
        <v>0</v>
      </c>
      <c r="AB170" s="15">
        <f t="shared" si="9"/>
        <v>174</v>
      </c>
      <c r="AC170" s="18" t="str">
        <f t="shared" si="10"/>
        <v/>
      </c>
    </row>
    <row r="171">
      <c r="A171" s="10" t="s">
        <v>36</v>
      </c>
      <c r="B171" s="12">
        <v>46050.0</v>
      </c>
      <c r="C171" s="10" t="s">
        <v>47</v>
      </c>
      <c r="D171" s="10" t="s">
        <v>9</v>
      </c>
      <c r="E171" s="10" t="s">
        <v>11</v>
      </c>
      <c r="F171" s="10" t="s">
        <v>7</v>
      </c>
      <c r="G171" s="10" t="s">
        <v>44</v>
      </c>
      <c r="H171" s="10" t="s">
        <v>47</v>
      </c>
      <c r="I171" s="13">
        <v>0.42569444444444443</v>
      </c>
      <c r="J171" s="13">
        <v>0.7916666666666666</v>
      </c>
      <c r="K171" s="10">
        <v>30.0</v>
      </c>
      <c r="L171" s="13">
        <v>0.4930555555555556</v>
      </c>
      <c r="M171" s="13">
        <v>0.7291666666666666</v>
      </c>
      <c r="N171" s="10">
        <v>75.0</v>
      </c>
      <c r="O171" s="10">
        <v>1.0</v>
      </c>
      <c r="P171" s="10">
        <v>95.0</v>
      </c>
      <c r="Q171" s="14">
        <f t="shared" si="1"/>
        <v>46052</v>
      </c>
      <c r="R171" s="15">
        <f t="shared" si="2"/>
        <v>8.283333333</v>
      </c>
      <c r="S171" s="16">
        <f>IFERROR(__xludf.DUMMYFUNCTION("IFERROR( INDEX( FILTER( Reference!$F:$F, Reference!$A:$A = $E171, Reference!$E:$E = $D171, Reference!$C:$C = $Q171),1),""RATE_NOT_FOUND"")"),26.0)</f>
        <v>26</v>
      </c>
      <c r="T171" s="15">
        <f t="shared" si="3"/>
        <v>215.3666667</v>
      </c>
      <c r="U171" s="15">
        <f t="shared" si="4"/>
        <v>4.416666667</v>
      </c>
      <c r="V171" s="17">
        <f t="shared" si="5"/>
        <v>21.50943396</v>
      </c>
      <c r="W171" s="18" t="str">
        <f t="shared" si="6"/>
        <v>Wednesday</v>
      </c>
      <c r="X171" s="18">
        <f t="shared" si="7"/>
        <v>0</v>
      </c>
      <c r="Y171" s="14">
        <f>IFERROR(__xludf.DUMMYFUNCTION("IFERROR( INDEX( FILTER(Reference!$D:$D, Reference!$A:$A=$E171, Reference!$C:$C=$Q171), 1),"""")"),46052.0)</f>
        <v>46052</v>
      </c>
      <c r="Z171" s="18">
        <f t="shared" si="8"/>
        <v>22.65</v>
      </c>
      <c r="AA171" s="18">
        <f>IF(Z171=0,0, IF(Z171&gt;=LOOKUP(Q171,MinHr_Weekly_Bonus!A:A,MinHr_Weekly_Bonus!B:B), LOOKUP(Q171,MinHr_Weekly_Bonus!A:A,MinHr_Weekly_Bonus!C:C), 0))</f>
        <v>0</v>
      </c>
      <c r="AB171" s="15">
        <f t="shared" si="9"/>
        <v>215.3666667</v>
      </c>
      <c r="AC171" s="18" t="str">
        <f t="shared" si="10"/>
        <v/>
      </c>
    </row>
    <row r="172">
      <c r="A172" s="10" t="s">
        <v>36</v>
      </c>
      <c r="B172" s="12">
        <v>46050.0</v>
      </c>
      <c r="C172" s="10" t="s">
        <v>63</v>
      </c>
      <c r="D172" s="10" t="s">
        <v>8</v>
      </c>
      <c r="E172" s="10" t="s">
        <v>6</v>
      </c>
      <c r="F172" s="10" t="s">
        <v>7</v>
      </c>
      <c r="G172" s="10" t="s">
        <v>44</v>
      </c>
      <c r="H172" s="10" t="s">
        <v>42</v>
      </c>
      <c r="I172" s="13">
        <v>0.4479166666666667</v>
      </c>
      <c r="J172" s="13">
        <v>0.7736111111111111</v>
      </c>
      <c r="K172" s="10">
        <v>30.0</v>
      </c>
      <c r="L172" s="13">
        <v>0.4861111111111111</v>
      </c>
      <c r="M172" s="13">
        <v>0.7291666666666666</v>
      </c>
      <c r="N172" s="10">
        <v>65.0</v>
      </c>
      <c r="O172" s="10">
        <v>1.0</v>
      </c>
      <c r="P172" s="10">
        <v>84.0</v>
      </c>
      <c r="Q172" s="14">
        <f t="shared" si="1"/>
        <v>46052</v>
      </c>
      <c r="R172" s="15">
        <f t="shared" si="2"/>
        <v>7.316666667</v>
      </c>
      <c r="S172" s="16">
        <f>IFERROR(__xludf.DUMMYFUNCTION("IFERROR( INDEX( FILTER( Reference!$F:$F, Reference!$A:$A = $E172, Reference!$E:$E = $D172, Reference!$C:$C = $Q172),1),""RATE_NOT_FOUND"")"),24.0)</f>
        <v>24</v>
      </c>
      <c r="T172" s="15">
        <f t="shared" si="3"/>
        <v>175.6</v>
      </c>
      <c r="U172" s="15">
        <f t="shared" si="4"/>
        <v>4.75</v>
      </c>
      <c r="V172" s="17">
        <f t="shared" si="5"/>
        <v>17.68421053</v>
      </c>
      <c r="W172" s="18" t="str">
        <f t="shared" si="6"/>
        <v>Wednesday</v>
      </c>
      <c r="X172" s="18">
        <f t="shared" si="7"/>
        <v>0</v>
      </c>
      <c r="Y172" s="14">
        <f>IFERROR(__xludf.DUMMYFUNCTION("IFERROR( INDEX( FILTER(Reference!$D:$D, Reference!$A:$A=$E172, Reference!$C:$C=$Q172), 1),"""")"),46052.0)</f>
        <v>46052</v>
      </c>
      <c r="Z172" s="18">
        <f t="shared" si="8"/>
        <v>19.58333333</v>
      </c>
      <c r="AA172" s="18">
        <f>IF(Z172=0,0, IF(Z172&gt;=LOOKUP(Q172,MinHr_Weekly_Bonus!A:A,MinHr_Weekly_Bonus!B:B), LOOKUP(Q172,MinHr_Weekly_Bonus!A:A,MinHr_Weekly_Bonus!C:C), 0))</f>
        <v>0</v>
      </c>
      <c r="AB172" s="15">
        <f t="shared" si="9"/>
        <v>175.6</v>
      </c>
      <c r="AC172" s="18" t="str">
        <f t="shared" si="10"/>
        <v/>
      </c>
    </row>
    <row r="173">
      <c r="A173" s="10" t="s">
        <v>36</v>
      </c>
      <c r="B173" s="12">
        <v>46050.0</v>
      </c>
      <c r="C173" s="10" t="s">
        <v>39</v>
      </c>
      <c r="D173" s="10" t="s">
        <v>8</v>
      </c>
      <c r="E173" s="10" t="s">
        <v>6</v>
      </c>
      <c r="F173" s="10" t="s">
        <v>7</v>
      </c>
      <c r="G173" s="10" t="s">
        <v>44</v>
      </c>
      <c r="H173" s="10" t="s">
        <v>42</v>
      </c>
      <c r="I173" s="13">
        <v>0.4479166666666667</v>
      </c>
      <c r="J173" s="13">
        <v>0.7680555555555556</v>
      </c>
      <c r="K173" s="10">
        <v>30.0</v>
      </c>
      <c r="L173" s="13">
        <v>0.4791666666666667</v>
      </c>
      <c r="M173" s="13">
        <v>0.7291666666666666</v>
      </c>
      <c r="N173" s="10">
        <v>70.0</v>
      </c>
      <c r="O173" s="10">
        <v>1.0</v>
      </c>
      <c r="P173" s="10">
        <v>88.0</v>
      </c>
      <c r="Q173" s="14">
        <f t="shared" si="1"/>
        <v>46052</v>
      </c>
      <c r="R173" s="15">
        <f t="shared" si="2"/>
        <v>7.183333333</v>
      </c>
      <c r="S173" s="16">
        <f>IFERROR(__xludf.DUMMYFUNCTION("IFERROR( INDEX( FILTER( Reference!$F:$F, Reference!$A:$A = $E173, Reference!$E:$E = $D173, Reference!$C:$C = $Q173),1),""RATE_NOT_FOUND"")"),24.0)</f>
        <v>24</v>
      </c>
      <c r="T173" s="15">
        <f t="shared" si="3"/>
        <v>172.4</v>
      </c>
      <c r="U173" s="15">
        <f t="shared" si="4"/>
        <v>4.833333333</v>
      </c>
      <c r="V173" s="17">
        <f t="shared" si="5"/>
        <v>18.20689655</v>
      </c>
      <c r="W173" s="18" t="str">
        <f t="shared" si="6"/>
        <v>Wednesday</v>
      </c>
      <c r="X173" s="18">
        <f t="shared" si="7"/>
        <v>0</v>
      </c>
      <c r="Y173" s="14">
        <f>IFERROR(__xludf.DUMMYFUNCTION("IFERROR( INDEX( FILTER(Reference!$D:$D, Reference!$A:$A=$E173, Reference!$C:$C=$Q173), 1),"""")"),46052.0)</f>
        <v>46052</v>
      </c>
      <c r="Z173" s="18">
        <f t="shared" si="8"/>
        <v>14.66666667</v>
      </c>
      <c r="AA173" s="18">
        <f>IF(Z173=0,0, IF(Z173&gt;=LOOKUP(Q173,MinHr_Weekly_Bonus!A:A,MinHr_Weekly_Bonus!B:B), LOOKUP(Q173,MinHr_Weekly_Bonus!A:A,MinHr_Weekly_Bonus!C:C), 0))</f>
        <v>0</v>
      </c>
      <c r="AB173" s="15">
        <f t="shared" si="9"/>
        <v>172.4</v>
      </c>
      <c r="AC173" s="18" t="str">
        <f t="shared" si="10"/>
        <v/>
      </c>
    </row>
    <row r="174">
      <c r="A174" s="10" t="s">
        <v>36</v>
      </c>
      <c r="B174" s="12">
        <v>46050.0</v>
      </c>
      <c r="C174" s="10" t="s">
        <v>42</v>
      </c>
      <c r="D174" s="10" t="s">
        <v>9</v>
      </c>
      <c r="E174" s="10" t="s">
        <v>6</v>
      </c>
      <c r="F174" s="10" t="s">
        <v>7</v>
      </c>
      <c r="G174" s="10" t="s">
        <v>44</v>
      </c>
      <c r="H174" s="10" t="s">
        <v>42</v>
      </c>
      <c r="I174" s="13">
        <v>0.4236111111111111</v>
      </c>
      <c r="J174" s="13">
        <v>0.7916666666666666</v>
      </c>
      <c r="K174" s="10">
        <v>30.0</v>
      </c>
      <c r="L174" s="13">
        <v>0.4791666666666667</v>
      </c>
      <c r="M174" s="13">
        <v>0.7291666666666666</v>
      </c>
      <c r="N174" s="10">
        <v>90.0</v>
      </c>
      <c r="O174" s="10">
        <v>1.0</v>
      </c>
      <c r="P174" s="10">
        <v>61.0</v>
      </c>
      <c r="Q174" s="14">
        <f t="shared" si="1"/>
        <v>46052</v>
      </c>
      <c r="R174" s="15">
        <f t="shared" si="2"/>
        <v>8.333333333</v>
      </c>
      <c r="S174" s="16">
        <f>IFERROR(__xludf.DUMMYFUNCTION("IFERROR( INDEX( FILTER( Reference!$F:$F, Reference!$A:$A = $E174, Reference!$E:$E = $D174, Reference!$C:$C = $Q174),1),""RATE_NOT_FOUND"")"),27.0)</f>
        <v>27</v>
      </c>
      <c r="T174" s="15">
        <f t="shared" si="3"/>
        <v>225</v>
      </c>
      <c r="U174" s="15">
        <f t="shared" si="4"/>
        <v>4.5</v>
      </c>
      <c r="V174" s="17">
        <f t="shared" si="5"/>
        <v>13.55555556</v>
      </c>
      <c r="W174" s="18" t="str">
        <f t="shared" si="6"/>
        <v>Wednesday</v>
      </c>
      <c r="X174" s="18">
        <f t="shared" si="7"/>
        <v>0</v>
      </c>
      <c r="Y174" s="14">
        <f>IFERROR(__xludf.DUMMYFUNCTION("IFERROR( INDEX( FILTER(Reference!$D:$D, Reference!$A:$A=$E174, Reference!$C:$C=$Q174), 1),"""")"),46052.0)</f>
        <v>46052</v>
      </c>
      <c r="Z174" s="18">
        <f t="shared" si="8"/>
        <v>24.5</v>
      </c>
      <c r="AA174" s="18">
        <f>IF(Z174=0,0, IF(Z174&gt;=LOOKUP(Q174,MinHr_Weekly_Bonus!A:A,MinHr_Weekly_Bonus!B:B), LOOKUP(Q174,MinHr_Weekly_Bonus!A:A,MinHr_Weekly_Bonus!C:C), 0))</f>
        <v>0</v>
      </c>
      <c r="AB174" s="15">
        <f t="shared" si="9"/>
        <v>225</v>
      </c>
      <c r="AC174" s="18" t="str">
        <f t="shared" si="10"/>
        <v/>
      </c>
    </row>
    <row r="175">
      <c r="A175" s="10" t="s">
        <v>36</v>
      </c>
      <c r="B175" s="12">
        <v>46050.0</v>
      </c>
      <c r="C175" s="10" t="s">
        <v>67</v>
      </c>
      <c r="D175" s="10" t="s">
        <v>8</v>
      </c>
      <c r="E175" s="10" t="s">
        <v>11</v>
      </c>
      <c r="F175" s="10" t="s">
        <v>7</v>
      </c>
      <c r="G175" s="10" t="s">
        <v>44</v>
      </c>
      <c r="H175" s="10" t="s">
        <v>51</v>
      </c>
      <c r="I175" s="13">
        <v>0.4479166666666667</v>
      </c>
      <c r="J175" s="13">
        <v>0.7770833333333333</v>
      </c>
      <c r="K175" s="10">
        <v>30.0</v>
      </c>
      <c r="L175" s="13">
        <v>0.4791666666666667</v>
      </c>
      <c r="M175" s="13">
        <v>0.7291666666666666</v>
      </c>
      <c r="N175" s="10">
        <v>60.0</v>
      </c>
      <c r="O175" s="10">
        <v>1.0</v>
      </c>
      <c r="P175" s="10">
        <v>53.0</v>
      </c>
      <c r="Q175" s="14">
        <f t="shared" si="1"/>
        <v>46052</v>
      </c>
      <c r="R175" s="15">
        <f t="shared" si="2"/>
        <v>7.4</v>
      </c>
      <c r="S175" s="16">
        <f>IFERROR(__xludf.DUMMYFUNCTION("IFERROR( INDEX( FILTER( Reference!$F:$F, Reference!$A:$A = $E175, Reference!$E:$E = $D175, Reference!$C:$C = $Q175),1),""RATE_NOT_FOUND"")"),24.0)</f>
        <v>24</v>
      </c>
      <c r="T175" s="15">
        <f t="shared" si="3"/>
        <v>177.6</v>
      </c>
      <c r="U175" s="15">
        <f t="shared" si="4"/>
        <v>5</v>
      </c>
      <c r="V175" s="17">
        <f t="shared" si="5"/>
        <v>10.6</v>
      </c>
      <c r="W175" s="18" t="str">
        <f t="shared" si="6"/>
        <v>Wednesday</v>
      </c>
      <c r="X175" s="18">
        <f t="shared" si="7"/>
        <v>0</v>
      </c>
      <c r="Y175" s="14">
        <f>IFERROR(__xludf.DUMMYFUNCTION("IFERROR( INDEX( FILTER(Reference!$D:$D, Reference!$A:$A=$E175, Reference!$C:$C=$Q175), 1),"""")"),46052.0)</f>
        <v>46052</v>
      </c>
      <c r="Z175" s="18">
        <f t="shared" si="8"/>
        <v>19.83333333</v>
      </c>
      <c r="AA175" s="18">
        <f>IF(Z175=0,0, IF(Z175&gt;=LOOKUP(Q175,MinHr_Weekly_Bonus!A:A,MinHr_Weekly_Bonus!B:B), LOOKUP(Q175,MinHr_Weekly_Bonus!A:A,MinHr_Weekly_Bonus!C:C), 0))</f>
        <v>0</v>
      </c>
      <c r="AB175" s="15">
        <f t="shared" si="9"/>
        <v>177.6</v>
      </c>
      <c r="AC175" s="18" t="str">
        <f t="shared" si="10"/>
        <v/>
      </c>
    </row>
    <row r="176">
      <c r="A176" s="10" t="s">
        <v>36</v>
      </c>
      <c r="B176" s="12">
        <v>46050.0</v>
      </c>
      <c r="C176" s="10" t="s">
        <v>75</v>
      </c>
      <c r="D176" s="10" t="s">
        <v>8</v>
      </c>
      <c r="E176" s="10" t="s">
        <v>11</v>
      </c>
      <c r="F176" s="10" t="s">
        <v>7</v>
      </c>
      <c r="G176" s="10" t="s">
        <v>44</v>
      </c>
      <c r="H176" s="10" t="s">
        <v>51</v>
      </c>
      <c r="I176" s="13">
        <v>0.4479166666666667</v>
      </c>
      <c r="J176" s="13">
        <v>0.78125</v>
      </c>
      <c r="K176" s="10">
        <v>30.0</v>
      </c>
      <c r="L176" s="13">
        <v>0.4791666666666667</v>
      </c>
      <c r="M176" s="13">
        <v>0.7291666666666666</v>
      </c>
      <c r="N176" s="10">
        <v>90.0</v>
      </c>
      <c r="O176" s="10">
        <v>1.0</v>
      </c>
      <c r="P176" s="10">
        <v>95.0</v>
      </c>
      <c r="Q176" s="14">
        <f t="shared" si="1"/>
        <v>46052</v>
      </c>
      <c r="R176" s="15">
        <f t="shared" si="2"/>
        <v>7.5</v>
      </c>
      <c r="S176" s="16">
        <f>IFERROR(__xludf.DUMMYFUNCTION("IFERROR( INDEX( FILTER( Reference!$F:$F, Reference!$A:$A = $E176, Reference!$E:$E = $D176, Reference!$C:$C = $Q176),1),""RATE_NOT_FOUND"")"),24.0)</f>
        <v>24</v>
      </c>
      <c r="T176" s="15">
        <f t="shared" si="3"/>
        <v>180</v>
      </c>
      <c r="U176" s="15">
        <f t="shared" si="4"/>
        <v>4.5</v>
      </c>
      <c r="V176" s="17">
        <f t="shared" si="5"/>
        <v>21.11111111</v>
      </c>
      <c r="W176" s="18" t="str">
        <f t="shared" si="6"/>
        <v>Wednesday</v>
      </c>
      <c r="X176" s="18">
        <f t="shared" si="7"/>
        <v>0</v>
      </c>
      <c r="Y176" s="14">
        <f>IFERROR(__xludf.DUMMYFUNCTION("IFERROR( INDEX( FILTER(Reference!$D:$D, Reference!$A:$A=$E176, Reference!$C:$C=$Q176), 1),"""")"),46052.0)</f>
        <v>46052</v>
      </c>
      <c r="Z176" s="18">
        <f t="shared" si="8"/>
        <v>19.36666667</v>
      </c>
      <c r="AA176" s="18">
        <f>IF(Z176=0,0, IF(Z176&gt;=LOOKUP(Q176,MinHr_Weekly_Bonus!A:A,MinHr_Weekly_Bonus!B:B), LOOKUP(Q176,MinHr_Weekly_Bonus!A:A,MinHr_Weekly_Bonus!C:C), 0))</f>
        <v>0</v>
      </c>
      <c r="AB176" s="15">
        <f t="shared" si="9"/>
        <v>180</v>
      </c>
      <c r="AC176" s="18" t="str">
        <f t="shared" si="10"/>
        <v/>
      </c>
    </row>
    <row r="177">
      <c r="A177" s="10" t="s">
        <v>36</v>
      </c>
      <c r="B177" s="12">
        <v>46050.0</v>
      </c>
      <c r="C177" s="10" t="s">
        <v>51</v>
      </c>
      <c r="D177" s="10" t="s">
        <v>9</v>
      </c>
      <c r="E177" s="10" t="s">
        <v>11</v>
      </c>
      <c r="F177" s="10" t="s">
        <v>7</v>
      </c>
      <c r="G177" s="10" t="s">
        <v>44</v>
      </c>
      <c r="H177" s="10" t="s">
        <v>51</v>
      </c>
      <c r="I177" s="13">
        <v>0.4236111111111111</v>
      </c>
      <c r="J177" s="13">
        <v>0.7916666666666666</v>
      </c>
      <c r="K177" s="10">
        <v>30.0</v>
      </c>
      <c r="L177" s="13">
        <v>0.4777777777777778</v>
      </c>
      <c r="M177" s="13">
        <v>0.7291666666666666</v>
      </c>
      <c r="N177" s="10">
        <v>50.0</v>
      </c>
      <c r="O177" s="10">
        <v>1.0</v>
      </c>
      <c r="P177" s="10">
        <v>111.0</v>
      </c>
      <c r="Q177" s="14">
        <f t="shared" si="1"/>
        <v>46052</v>
      </c>
      <c r="R177" s="15">
        <f t="shared" si="2"/>
        <v>8.333333333</v>
      </c>
      <c r="S177" s="16">
        <f>IFERROR(__xludf.DUMMYFUNCTION("IFERROR( INDEX( FILTER( Reference!$F:$F, Reference!$A:$A = $E177, Reference!$E:$E = $D177, Reference!$C:$C = $Q177),1),""RATE_NOT_FOUND"")"),26.0)</f>
        <v>26</v>
      </c>
      <c r="T177" s="15">
        <f t="shared" si="3"/>
        <v>216.6666667</v>
      </c>
      <c r="U177" s="15">
        <f t="shared" si="4"/>
        <v>5.2</v>
      </c>
      <c r="V177" s="17">
        <f t="shared" si="5"/>
        <v>21.34615385</v>
      </c>
      <c r="W177" s="18" t="str">
        <f t="shared" si="6"/>
        <v>Wednesday</v>
      </c>
      <c r="X177" s="18">
        <f t="shared" si="7"/>
        <v>0</v>
      </c>
      <c r="Y177" s="14">
        <f>IFERROR(__xludf.DUMMYFUNCTION("IFERROR( INDEX( FILTER(Reference!$D:$D, Reference!$A:$A=$E177, Reference!$C:$C=$Q177), 1),"""")"),46052.0)</f>
        <v>46052</v>
      </c>
      <c r="Z177" s="18">
        <f t="shared" si="8"/>
        <v>26.23333333</v>
      </c>
      <c r="AA177" s="18">
        <f>IF(Z177=0,0, IF(Z177&gt;=LOOKUP(Q177,MinHr_Weekly_Bonus!A:A,MinHr_Weekly_Bonus!B:B), LOOKUP(Q177,MinHr_Weekly_Bonus!A:A,MinHr_Weekly_Bonus!C:C), 0))</f>
        <v>150</v>
      </c>
      <c r="AB177" s="15">
        <f t="shared" si="9"/>
        <v>216.6666667</v>
      </c>
      <c r="AC177" s="18" t="str">
        <f t="shared" si="10"/>
        <v/>
      </c>
    </row>
    <row r="178">
      <c r="A178" s="10" t="s">
        <v>36</v>
      </c>
      <c r="B178" s="12">
        <v>46050.0</v>
      </c>
      <c r="C178" s="10" t="s">
        <v>77</v>
      </c>
      <c r="D178" s="10" t="s">
        <v>9</v>
      </c>
      <c r="E178" s="10" t="s">
        <v>6</v>
      </c>
      <c r="F178" s="10" t="s">
        <v>7</v>
      </c>
      <c r="G178" s="10" t="s">
        <v>44</v>
      </c>
      <c r="H178" s="10" t="s">
        <v>77</v>
      </c>
      <c r="I178" s="13">
        <v>0.4479166666666667</v>
      </c>
      <c r="J178" s="13">
        <v>0.7916666666666666</v>
      </c>
      <c r="K178" s="10">
        <v>30.0</v>
      </c>
      <c r="L178" s="13">
        <v>0.4777777777777778</v>
      </c>
      <c r="M178" s="13">
        <v>0.7291666666666666</v>
      </c>
      <c r="N178" s="10">
        <v>50.0</v>
      </c>
      <c r="O178" s="10">
        <v>1.0</v>
      </c>
      <c r="P178" s="10">
        <v>64.0</v>
      </c>
      <c r="Q178" s="14">
        <f t="shared" si="1"/>
        <v>46052</v>
      </c>
      <c r="R178" s="15">
        <f t="shared" si="2"/>
        <v>7.75</v>
      </c>
      <c r="S178" s="16">
        <f>IFERROR(__xludf.DUMMYFUNCTION("IFERROR( INDEX( FILTER( Reference!$F:$F, Reference!$A:$A = $E178, Reference!$E:$E = $D178, Reference!$C:$C = $Q178),1),""RATE_NOT_FOUND"")"),27.0)</f>
        <v>27</v>
      </c>
      <c r="T178" s="15">
        <f t="shared" si="3"/>
        <v>209.25</v>
      </c>
      <c r="U178" s="15">
        <f t="shared" si="4"/>
        <v>5.2</v>
      </c>
      <c r="V178" s="17">
        <f t="shared" si="5"/>
        <v>12.30769231</v>
      </c>
      <c r="W178" s="18" t="str">
        <f t="shared" si="6"/>
        <v>Wednesday</v>
      </c>
      <c r="X178" s="18">
        <f t="shared" si="7"/>
        <v>0</v>
      </c>
      <c r="Y178" s="14">
        <f>IFERROR(__xludf.DUMMYFUNCTION("IFERROR( INDEX( FILTER(Reference!$D:$D, Reference!$A:$A=$E178, Reference!$C:$C=$Q178), 1),"""")"),46052.0)</f>
        <v>46052</v>
      </c>
      <c r="Z178" s="18">
        <f t="shared" si="8"/>
        <v>20.78333333</v>
      </c>
      <c r="AA178" s="18">
        <f>IF(Z178=0,0, IF(Z178&gt;=LOOKUP(Q178,MinHr_Weekly_Bonus!A:A,MinHr_Weekly_Bonus!B:B), LOOKUP(Q178,MinHr_Weekly_Bonus!A:A,MinHr_Weekly_Bonus!C:C), 0))</f>
        <v>0</v>
      </c>
      <c r="AB178" s="15">
        <f t="shared" si="9"/>
        <v>209.25</v>
      </c>
      <c r="AC178" s="18" t="str">
        <f t="shared" si="10"/>
        <v/>
      </c>
    </row>
    <row r="179">
      <c r="A179" s="10" t="s">
        <v>36</v>
      </c>
      <c r="B179" s="12">
        <v>46050.0</v>
      </c>
      <c r="C179" s="10" t="s">
        <v>76</v>
      </c>
      <c r="D179" s="10" t="s">
        <v>8</v>
      </c>
      <c r="E179" s="10" t="s">
        <v>6</v>
      </c>
      <c r="F179" s="10" t="s">
        <v>7</v>
      </c>
      <c r="G179" s="10" t="s">
        <v>44</v>
      </c>
      <c r="H179" s="10" t="s">
        <v>77</v>
      </c>
      <c r="I179" s="13">
        <v>0.4479166666666667</v>
      </c>
      <c r="J179" s="13">
        <v>0.7909722222222222</v>
      </c>
      <c r="K179" s="10">
        <v>30.0</v>
      </c>
      <c r="L179" s="13">
        <v>0.4777777777777778</v>
      </c>
      <c r="M179" s="13">
        <v>0.7291666666666666</v>
      </c>
      <c r="N179" s="10">
        <v>50.0</v>
      </c>
      <c r="O179" s="10">
        <v>1.0</v>
      </c>
      <c r="P179" s="10">
        <v>81.0</v>
      </c>
      <c r="Q179" s="14">
        <f t="shared" si="1"/>
        <v>46052</v>
      </c>
      <c r="R179" s="15">
        <f t="shared" si="2"/>
        <v>7.733333333</v>
      </c>
      <c r="S179" s="16">
        <f>IFERROR(__xludf.DUMMYFUNCTION("IFERROR( INDEX( FILTER( Reference!$F:$F, Reference!$A:$A = $E179, Reference!$E:$E = $D179, Reference!$C:$C = $Q179),1),""RATE_NOT_FOUND"")"),24.0)</f>
        <v>24</v>
      </c>
      <c r="T179" s="15">
        <f t="shared" si="3"/>
        <v>185.6</v>
      </c>
      <c r="U179" s="15">
        <f t="shared" si="4"/>
        <v>5.2</v>
      </c>
      <c r="V179" s="17">
        <f t="shared" si="5"/>
        <v>15.57692308</v>
      </c>
      <c r="W179" s="18" t="str">
        <f t="shared" si="6"/>
        <v>Wednesday</v>
      </c>
      <c r="X179" s="18">
        <f t="shared" si="7"/>
        <v>0</v>
      </c>
      <c r="Y179" s="14">
        <f>IFERROR(__xludf.DUMMYFUNCTION("IFERROR( INDEX( FILTER(Reference!$D:$D, Reference!$A:$A=$E179, Reference!$C:$C=$Q179), 1),"""")"),46052.0)</f>
        <v>46052</v>
      </c>
      <c r="Z179" s="18">
        <f t="shared" si="8"/>
        <v>20.15</v>
      </c>
      <c r="AA179" s="18">
        <f>IF(Z179=0,0, IF(Z179&gt;=LOOKUP(Q179,MinHr_Weekly_Bonus!A:A,MinHr_Weekly_Bonus!B:B), LOOKUP(Q179,MinHr_Weekly_Bonus!A:A,MinHr_Weekly_Bonus!C:C), 0))</f>
        <v>0</v>
      </c>
      <c r="AB179" s="15">
        <f t="shared" si="9"/>
        <v>185.6</v>
      </c>
      <c r="AC179" s="18" t="str">
        <f t="shared" si="10"/>
        <v/>
      </c>
    </row>
    <row r="180">
      <c r="A180" s="10" t="s">
        <v>36</v>
      </c>
      <c r="B180" s="12">
        <v>46050.0</v>
      </c>
      <c r="C180" s="10" t="s">
        <v>61</v>
      </c>
      <c r="D180" s="10" t="s">
        <v>10</v>
      </c>
      <c r="E180" s="10" t="s">
        <v>6</v>
      </c>
      <c r="F180" s="10" t="s">
        <v>7</v>
      </c>
      <c r="G180" s="10" t="s">
        <v>44</v>
      </c>
      <c r="I180" s="13">
        <v>0.6458333333333334</v>
      </c>
      <c r="J180" s="13">
        <v>0.8333333333333334</v>
      </c>
      <c r="K180" s="10">
        <v>0.0</v>
      </c>
      <c r="O180" s="10">
        <v>1.0</v>
      </c>
      <c r="Q180" s="14">
        <f t="shared" si="1"/>
        <v>46052</v>
      </c>
      <c r="R180" s="15">
        <f t="shared" si="2"/>
        <v>4.5</v>
      </c>
      <c r="S180" s="16">
        <f>IFERROR(__xludf.DUMMYFUNCTION("IFERROR( INDEX( FILTER( Reference!$F:$F, Reference!$A:$A = $E180, Reference!$E:$E = $D180, Reference!$C:$C = $Q180),1),""RATE_NOT_FOUND"")"),22.0)</f>
        <v>22</v>
      </c>
      <c r="T180" s="15">
        <f t="shared" si="3"/>
        <v>99</v>
      </c>
      <c r="U180" s="15">
        <f t="shared" si="4"/>
        <v>0</v>
      </c>
      <c r="V180" s="17">
        <f t="shared" si="5"/>
        <v>0</v>
      </c>
      <c r="W180" s="18" t="str">
        <f t="shared" si="6"/>
        <v>Wednesday</v>
      </c>
      <c r="X180" s="18">
        <f t="shared" si="7"/>
        <v>0</v>
      </c>
      <c r="Y180" s="14">
        <f>IFERROR(__xludf.DUMMYFUNCTION("IFERROR( INDEX( FILTER(Reference!$D:$D, Reference!$A:$A=$E180, Reference!$C:$C=$Q180), 1),"""")"),46052.0)</f>
        <v>46052</v>
      </c>
      <c r="Z180" s="18">
        <f t="shared" si="8"/>
        <v>0</v>
      </c>
      <c r="AA180" s="18">
        <f>IF(Z180=0,0, IF(Z180&gt;=LOOKUP(Q180,MinHr_Weekly_Bonus!A:A,MinHr_Weekly_Bonus!B:B), LOOKUP(Q180,MinHr_Weekly_Bonus!A:A,MinHr_Weekly_Bonus!C:C), 0))</f>
        <v>0</v>
      </c>
      <c r="AB180" s="15">
        <f t="shared" si="9"/>
        <v>99</v>
      </c>
      <c r="AC180" s="18" t="str">
        <f t="shared" si="10"/>
        <v/>
      </c>
    </row>
    <row r="181">
      <c r="A181" s="10" t="s">
        <v>36</v>
      </c>
      <c r="B181" s="12">
        <v>46051.0</v>
      </c>
      <c r="C181" s="10" t="s">
        <v>76</v>
      </c>
      <c r="D181" s="10" t="s">
        <v>8</v>
      </c>
      <c r="E181" s="10" t="s">
        <v>11</v>
      </c>
      <c r="F181" s="10" t="s">
        <v>7</v>
      </c>
      <c r="G181" s="10" t="s">
        <v>44</v>
      </c>
      <c r="H181" s="10" t="s">
        <v>49</v>
      </c>
      <c r="I181" s="13">
        <v>0.4444444444444444</v>
      </c>
      <c r="J181" s="13">
        <v>0.78125</v>
      </c>
      <c r="K181" s="10">
        <v>30.0</v>
      </c>
      <c r="L181" s="13">
        <v>0.4756944444444444</v>
      </c>
      <c r="M181" s="13">
        <v>0.7291666666666666</v>
      </c>
      <c r="N181" s="10">
        <v>50.0</v>
      </c>
      <c r="O181" s="10">
        <v>1.0</v>
      </c>
      <c r="P181" s="10">
        <v>112.0</v>
      </c>
      <c r="Q181" s="14">
        <f t="shared" si="1"/>
        <v>46052</v>
      </c>
      <c r="R181" s="15">
        <f t="shared" si="2"/>
        <v>7.583333333</v>
      </c>
      <c r="S181" s="16">
        <f>IFERROR(__xludf.DUMMYFUNCTION("IFERROR( INDEX( FILTER( Reference!$F:$F, Reference!$A:$A = $E181, Reference!$E:$E = $D181, Reference!$C:$C = $Q181),1),""RATE_NOT_FOUND"")"),24.0)</f>
        <v>24</v>
      </c>
      <c r="T181" s="15">
        <f t="shared" si="3"/>
        <v>182</v>
      </c>
      <c r="U181" s="15">
        <f t="shared" si="4"/>
        <v>5.25</v>
      </c>
      <c r="V181" s="17">
        <f t="shared" si="5"/>
        <v>21.33333333</v>
      </c>
      <c r="W181" s="18" t="str">
        <f t="shared" si="6"/>
        <v>Thursday</v>
      </c>
      <c r="X181" s="18">
        <f t="shared" si="7"/>
        <v>0</v>
      </c>
      <c r="Y181" s="14">
        <f>IFERROR(__xludf.DUMMYFUNCTION("IFERROR( INDEX( FILTER(Reference!$D:$D, Reference!$A:$A=$E181, Reference!$C:$C=$Q181), 1),"""")"),46052.0)</f>
        <v>46052</v>
      </c>
      <c r="Z181" s="18">
        <f t="shared" si="8"/>
        <v>20.15</v>
      </c>
      <c r="AA181" s="18">
        <f>IF(Z181=0,0, IF(Z181&gt;=LOOKUP(Q181,MinHr_Weekly_Bonus!A:A,MinHr_Weekly_Bonus!B:B), LOOKUP(Q181,MinHr_Weekly_Bonus!A:A,MinHr_Weekly_Bonus!C:C), 0))</f>
        <v>0</v>
      </c>
      <c r="AB181" s="15">
        <f t="shared" si="9"/>
        <v>182</v>
      </c>
      <c r="AC181" s="18" t="str">
        <f t="shared" si="10"/>
        <v/>
      </c>
    </row>
    <row r="182">
      <c r="A182" s="10" t="s">
        <v>36</v>
      </c>
      <c r="B182" s="12">
        <v>46051.0</v>
      </c>
      <c r="C182" s="10" t="s">
        <v>63</v>
      </c>
      <c r="D182" s="10" t="s">
        <v>8</v>
      </c>
      <c r="E182" s="10" t="s">
        <v>11</v>
      </c>
      <c r="F182" s="10" t="s">
        <v>7</v>
      </c>
      <c r="G182" s="10" t="s">
        <v>44</v>
      </c>
      <c r="H182" s="10" t="s">
        <v>49</v>
      </c>
      <c r="I182" s="13">
        <v>0.44583333333333336</v>
      </c>
      <c r="J182" s="13">
        <v>0.7756944444444445</v>
      </c>
      <c r="K182" s="10">
        <v>30.0</v>
      </c>
      <c r="L182" s="13">
        <v>0.4756944444444444</v>
      </c>
      <c r="M182" s="13">
        <v>0.7291666666666666</v>
      </c>
      <c r="N182" s="10">
        <v>50.0</v>
      </c>
      <c r="O182" s="10">
        <v>1.0</v>
      </c>
      <c r="P182" s="10">
        <v>61.0</v>
      </c>
      <c r="Q182" s="14">
        <f t="shared" si="1"/>
        <v>46052</v>
      </c>
      <c r="R182" s="15">
        <f t="shared" si="2"/>
        <v>7.416666667</v>
      </c>
      <c r="S182" s="16">
        <f>IFERROR(__xludf.DUMMYFUNCTION("IFERROR( INDEX( FILTER( Reference!$F:$F, Reference!$A:$A = $E182, Reference!$E:$E = $D182, Reference!$C:$C = $Q182),1),""RATE_NOT_FOUND"")"),24.0)</f>
        <v>24</v>
      </c>
      <c r="T182" s="15">
        <f t="shared" si="3"/>
        <v>178</v>
      </c>
      <c r="U182" s="15">
        <f t="shared" si="4"/>
        <v>5.25</v>
      </c>
      <c r="V182" s="17">
        <f t="shared" si="5"/>
        <v>11.61904762</v>
      </c>
      <c r="W182" s="18" t="str">
        <f t="shared" si="6"/>
        <v>Thursday</v>
      </c>
      <c r="X182" s="18">
        <f t="shared" si="7"/>
        <v>0</v>
      </c>
      <c r="Y182" s="14">
        <f>IFERROR(__xludf.DUMMYFUNCTION("IFERROR( INDEX( FILTER(Reference!$D:$D, Reference!$A:$A=$E182, Reference!$C:$C=$Q182), 1),"""")"),46052.0)</f>
        <v>46052</v>
      </c>
      <c r="Z182" s="18">
        <f t="shared" si="8"/>
        <v>19.58333333</v>
      </c>
      <c r="AA182" s="18">
        <f>IF(Z182=0,0, IF(Z182&gt;=LOOKUP(Q182,MinHr_Weekly_Bonus!A:A,MinHr_Weekly_Bonus!B:B), LOOKUP(Q182,MinHr_Weekly_Bonus!A:A,MinHr_Weekly_Bonus!C:C), 0))</f>
        <v>0</v>
      </c>
      <c r="AB182" s="15">
        <f t="shared" si="9"/>
        <v>178</v>
      </c>
      <c r="AC182" s="18" t="str">
        <f t="shared" si="10"/>
        <v/>
      </c>
    </row>
    <row r="183">
      <c r="A183" s="10" t="s">
        <v>36</v>
      </c>
      <c r="B183" s="12">
        <v>46051.0</v>
      </c>
      <c r="C183" s="10" t="s">
        <v>68</v>
      </c>
      <c r="D183" s="10" t="s">
        <v>8</v>
      </c>
      <c r="E183" s="10" t="s">
        <v>11</v>
      </c>
      <c r="F183" s="10" t="s">
        <v>7</v>
      </c>
      <c r="G183" s="10" t="s">
        <v>44</v>
      </c>
      <c r="H183" s="10" t="s">
        <v>49</v>
      </c>
      <c r="I183" s="13">
        <v>0.4479166666666667</v>
      </c>
      <c r="J183" s="13">
        <v>0.7729166666666667</v>
      </c>
      <c r="K183" s="10">
        <v>30.0</v>
      </c>
      <c r="L183" s="13">
        <v>0.47430555555555554</v>
      </c>
      <c r="M183" s="13">
        <v>0.7291666666666666</v>
      </c>
      <c r="N183" s="10">
        <v>50.0</v>
      </c>
      <c r="O183" s="10">
        <v>1.0</v>
      </c>
      <c r="P183" s="10">
        <v>97.0</v>
      </c>
      <c r="Q183" s="14">
        <f t="shared" si="1"/>
        <v>46052</v>
      </c>
      <c r="R183" s="15">
        <f t="shared" si="2"/>
        <v>7.3</v>
      </c>
      <c r="S183" s="16">
        <f>IFERROR(__xludf.DUMMYFUNCTION("IFERROR( INDEX( FILTER( Reference!$F:$F, Reference!$A:$A = $E183, Reference!$E:$E = $D183, Reference!$C:$C = $Q183),1),""RATE_NOT_FOUND"")"),24.0)</f>
        <v>24</v>
      </c>
      <c r="T183" s="15">
        <f t="shared" si="3"/>
        <v>175.2</v>
      </c>
      <c r="U183" s="15">
        <f t="shared" si="4"/>
        <v>5.283333333</v>
      </c>
      <c r="V183" s="17">
        <f t="shared" si="5"/>
        <v>18.35962145</v>
      </c>
      <c r="W183" s="18" t="str">
        <f t="shared" si="6"/>
        <v>Thursday</v>
      </c>
      <c r="X183" s="18">
        <f t="shared" si="7"/>
        <v>0</v>
      </c>
      <c r="Y183" s="14">
        <f>IFERROR(__xludf.DUMMYFUNCTION("IFERROR( INDEX( FILTER(Reference!$D:$D, Reference!$A:$A=$E183, Reference!$C:$C=$Q183), 1),"""")"),46052.0)</f>
        <v>46052</v>
      </c>
      <c r="Z183" s="18">
        <f t="shared" si="8"/>
        <v>26</v>
      </c>
      <c r="AA183" s="18">
        <f>IF(Z183=0,0, IF(Z183&gt;=LOOKUP(Q183,MinHr_Weekly_Bonus!A:A,MinHr_Weekly_Bonus!B:B), LOOKUP(Q183,MinHr_Weekly_Bonus!A:A,MinHr_Weekly_Bonus!C:C), 0))</f>
        <v>150</v>
      </c>
      <c r="AB183" s="15">
        <f t="shared" si="9"/>
        <v>175.2</v>
      </c>
      <c r="AC183" s="18" t="str">
        <f t="shared" si="10"/>
        <v/>
      </c>
    </row>
    <row r="184">
      <c r="A184" s="10" t="s">
        <v>36</v>
      </c>
      <c r="B184" s="12">
        <v>46051.0</v>
      </c>
      <c r="C184" s="10" t="s">
        <v>43</v>
      </c>
      <c r="D184" s="10" t="s">
        <v>8</v>
      </c>
      <c r="E184" s="10" t="s">
        <v>11</v>
      </c>
      <c r="F184" s="10" t="s">
        <v>7</v>
      </c>
      <c r="G184" s="10" t="s">
        <v>44</v>
      </c>
      <c r="H184" s="10" t="s">
        <v>49</v>
      </c>
      <c r="I184" s="13">
        <v>0.3958333333333333</v>
      </c>
      <c r="J184" s="13">
        <v>0.7638888888888888</v>
      </c>
      <c r="K184" s="10">
        <v>30.0</v>
      </c>
      <c r="L184" s="13">
        <v>0.4895833333333333</v>
      </c>
      <c r="M184" s="13">
        <v>0.7291666666666666</v>
      </c>
      <c r="N184" s="10">
        <v>50.0</v>
      </c>
      <c r="O184" s="10">
        <v>1.0</v>
      </c>
      <c r="P184" s="10">
        <v>109.0</v>
      </c>
      <c r="Q184" s="14">
        <f t="shared" si="1"/>
        <v>46052</v>
      </c>
      <c r="R184" s="15">
        <f t="shared" si="2"/>
        <v>8.333333333</v>
      </c>
      <c r="S184" s="16">
        <f>IFERROR(__xludf.DUMMYFUNCTION("IFERROR( INDEX( FILTER( Reference!$F:$F, Reference!$A:$A = $E184, Reference!$E:$E = $D184, Reference!$C:$C = $Q184),1),""RATE_NOT_FOUND"")"),24.0)</f>
        <v>24</v>
      </c>
      <c r="T184" s="15">
        <f t="shared" si="3"/>
        <v>200</v>
      </c>
      <c r="U184" s="15">
        <f t="shared" si="4"/>
        <v>4.916666667</v>
      </c>
      <c r="V184" s="17">
        <f t="shared" si="5"/>
        <v>22.16949153</v>
      </c>
      <c r="W184" s="18" t="str">
        <f t="shared" si="6"/>
        <v>Thursday</v>
      </c>
      <c r="X184" s="18">
        <f t="shared" si="7"/>
        <v>0</v>
      </c>
      <c r="Y184" s="14">
        <f>IFERROR(__xludf.DUMMYFUNCTION("IFERROR( INDEX( FILTER(Reference!$D:$D, Reference!$A:$A=$E184, Reference!$C:$C=$Q184), 1),"""")"),46052.0)</f>
        <v>46052</v>
      </c>
      <c r="Z184" s="18">
        <f t="shared" si="8"/>
        <v>19.7</v>
      </c>
      <c r="AA184" s="18">
        <f>IF(Z184=0,0, IF(Z184&gt;=LOOKUP(Q184,MinHr_Weekly_Bonus!A:A,MinHr_Weekly_Bonus!B:B), LOOKUP(Q184,MinHr_Weekly_Bonus!A:A,MinHr_Weekly_Bonus!C:C), 0))</f>
        <v>0</v>
      </c>
      <c r="AB184" s="15">
        <f t="shared" si="9"/>
        <v>200</v>
      </c>
      <c r="AC184" s="18" t="str">
        <f t="shared" si="10"/>
        <v/>
      </c>
    </row>
    <row r="185">
      <c r="A185" s="10" t="s">
        <v>36</v>
      </c>
      <c r="B185" s="12">
        <v>46051.0</v>
      </c>
      <c r="C185" s="10" t="s">
        <v>49</v>
      </c>
      <c r="D185" s="10" t="s">
        <v>9</v>
      </c>
      <c r="E185" s="10" t="s">
        <v>11</v>
      </c>
      <c r="F185" s="10" t="s">
        <v>7</v>
      </c>
      <c r="G185" s="10" t="s">
        <v>44</v>
      </c>
      <c r="H185" s="10" t="s">
        <v>49</v>
      </c>
      <c r="I185" s="13">
        <v>0.4270833333333333</v>
      </c>
      <c r="J185" s="13">
        <v>0.7951388888888888</v>
      </c>
      <c r="K185" s="10">
        <v>30.0</v>
      </c>
      <c r="L185" s="13">
        <v>0.4895833333333333</v>
      </c>
      <c r="M185" s="13">
        <v>0.7291666666666666</v>
      </c>
      <c r="N185" s="10">
        <v>30.0</v>
      </c>
      <c r="O185" s="10">
        <v>1.0</v>
      </c>
      <c r="P185" s="10">
        <v>110.0</v>
      </c>
      <c r="Q185" s="14">
        <f t="shared" si="1"/>
        <v>46052</v>
      </c>
      <c r="R185" s="15">
        <f t="shared" si="2"/>
        <v>8.333333333</v>
      </c>
      <c r="S185" s="16">
        <f>IFERROR(__xludf.DUMMYFUNCTION("IFERROR( INDEX( FILTER( Reference!$F:$F, Reference!$A:$A = $E185, Reference!$E:$E = $D185, Reference!$C:$C = $Q185),1),""RATE_NOT_FOUND"")"),26.0)</f>
        <v>26</v>
      </c>
      <c r="T185" s="15">
        <f t="shared" si="3"/>
        <v>216.6666667</v>
      </c>
      <c r="U185" s="15">
        <f t="shared" si="4"/>
        <v>5.25</v>
      </c>
      <c r="V185" s="17">
        <f t="shared" si="5"/>
        <v>20.95238095</v>
      </c>
      <c r="W185" s="18" t="str">
        <f t="shared" si="6"/>
        <v>Thursday</v>
      </c>
      <c r="X185" s="18">
        <f t="shared" si="7"/>
        <v>0</v>
      </c>
      <c r="Y185" s="14">
        <f>IFERROR(__xludf.DUMMYFUNCTION("IFERROR( INDEX( FILTER(Reference!$D:$D, Reference!$A:$A=$E185, Reference!$C:$C=$Q185), 1),"""")"),46052.0)</f>
        <v>46052</v>
      </c>
      <c r="Z185" s="18">
        <f t="shared" si="8"/>
        <v>20.61666667</v>
      </c>
      <c r="AA185" s="18">
        <f>IF(Z185=0,0, IF(Z185&gt;=LOOKUP(Q185,MinHr_Weekly_Bonus!A:A,MinHr_Weekly_Bonus!B:B), LOOKUP(Q185,MinHr_Weekly_Bonus!A:A,MinHr_Weekly_Bonus!C:C), 0))</f>
        <v>0</v>
      </c>
      <c r="AB185" s="15">
        <f t="shared" si="9"/>
        <v>216.6666667</v>
      </c>
      <c r="AC185" s="18" t="str">
        <f t="shared" si="10"/>
        <v/>
      </c>
    </row>
    <row r="186">
      <c r="A186" s="10" t="s">
        <v>36</v>
      </c>
      <c r="B186" s="12">
        <v>46051.0</v>
      </c>
      <c r="C186" s="10" t="s">
        <v>79</v>
      </c>
      <c r="D186" s="10" t="s">
        <v>8</v>
      </c>
      <c r="E186" s="10" t="s">
        <v>11</v>
      </c>
      <c r="F186" s="10" t="s">
        <v>7</v>
      </c>
      <c r="G186" s="10" t="s">
        <v>44</v>
      </c>
      <c r="H186" s="10" t="s">
        <v>37</v>
      </c>
      <c r="I186" s="13">
        <v>0.4548611111111111</v>
      </c>
      <c r="J186" s="13">
        <v>0.7861111111111111</v>
      </c>
      <c r="K186" s="10">
        <v>30.0</v>
      </c>
      <c r="L186" s="13">
        <v>0.4895833333333333</v>
      </c>
      <c r="M186" s="13">
        <v>0.7291666666666666</v>
      </c>
      <c r="N186" s="10">
        <v>40.0</v>
      </c>
      <c r="O186" s="10">
        <v>1.0</v>
      </c>
      <c r="P186" s="10">
        <v>111.0</v>
      </c>
      <c r="Q186" s="14">
        <f t="shared" si="1"/>
        <v>46052</v>
      </c>
      <c r="R186" s="15">
        <f t="shared" si="2"/>
        <v>7.45</v>
      </c>
      <c r="S186" s="16">
        <f>IFERROR(__xludf.DUMMYFUNCTION("IFERROR( INDEX( FILTER( Reference!$F:$F, Reference!$A:$A = $E186, Reference!$E:$E = $D186, Reference!$C:$C = $Q186),1),""RATE_NOT_FOUND"")"),24.0)</f>
        <v>24</v>
      </c>
      <c r="T186" s="15">
        <f t="shared" si="3"/>
        <v>178.8</v>
      </c>
      <c r="U186" s="15">
        <f t="shared" si="4"/>
        <v>5.083333333</v>
      </c>
      <c r="V186" s="17">
        <f t="shared" si="5"/>
        <v>21.83606557</v>
      </c>
      <c r="W186" s="18" t="str">
        <f t="shared" si="6"/>
        <v>Thursday</v>
      </c>
      <c r="X186" s="18">
        <f t="shared" si="7"/>
        <v>0</v>
      </c>
      <c r="Y186" s="14">
        <f>IFERROR(__xludf.DUMMYFUNCTION("IFERROR( INDEX( FILTER(Reference!$D:$D, Reference!$A:$A=$E186, Reference!$C:$C=$Q186), 1),"""")"),46052.0)</f>
        <v>46052</v>
      </c>
      <c r="Z186" s="18">
        <f t="shared" si="8"/>
        <v>15.41666667</v>
      </c>
      <c r="AA186" s="18">
        <f>IF(Z186=0,0, IF(Z186&gt;=LOOKUP(Q186,MinHr_Weekly_Bonus!A:A,MinHr_Weekly_Bonus!B:B), LOOKUP(Q186,MinHr_Weekly_Bonus!A:A,MinHr_Weekly_Bonus!C:C), 0))</f>
        <v>0</v>
      </c>
      <c r="AB186" s="15">
        <f t="shared" si="9"/>
        <v>178.8</v>
      </c>
      <c r="AC186" s="18" t="str">
        <f t="shared" si="10"/>
        <v/>
      </c>
    </row>
    <row r="187">
      <c r="A187" s="10" t="s">
        <v>36</v>
      </c>
      <c r="B187" s="12">
        <v>46051.0</v>
      </c>
      <c r="C187" s="10" t="s">
        <v>62</v>
      </c>
      <c r="D187" s="10" t="s">
        <v>8</v>
      </c>
      <c r="E187" s="10" t="s">
        <v>11</v>
      </c>
      <c r="F187" s="10" t="s">
        <v>7</v>
      </c>
      <c r="G187" s="10" t="s">
        <v>44</v>
      </c>
      <c r="H187" s="10" t="s">
        <v>37</v>
      </c>
      <c r="I187" s="13">
        <v>0.44583333333333336</v>
      </c>
      <c r="J187" s="13">
        <v>0.7909722222222222</v>
      </c>
      <c r="K187" s="10">
        <v>30.0</v>
      </c>
      <c r="L187" s="13">
        <v>0.4791666666666667</v>
      </c>
      <c r="M187" s="13">
        <v>0.7291666666666666</v>
      </c>
      <c r="N187" s="10">
        <v>50.0</v>
      </c>
      <c r="O187" s="10">
        <v>1.0</v>
      </c>
      <c r="P187" s="10">
        <v>55.0</v>
      </c>
      <c r="Q187" s="14">
        <f t="shared" si="1"/>
        <v>46052</v>
      </c>
      <c r="R187" s="15">
        <f t="shared" si="2"/>
        <v>7.783333333</v>
      </c>
      <c r="S187" s="16">
        <f>IFERROR(__xludf.DUMMYFUNCTION("IFERROR( INDEX( FILTER( Reference!$F:$F, Reference!$A:$A = $E187, Reference!$E:$E = $D187, Reference!$C:$C = $Q187),1),""RATE_NOT_FOUND"")"),24.0)</f>
        <v>24</v>
      </c>
      <c r="T187" s="15">
        <f t="shared" si="3"/>
        <v>186.8</v>
      </c>
      <c r="U187" s="15">
        <f t="shared" si="4"/>
        <v>5.166666667</v>
      </c>
      <c r="V187" s="17">
        <f t="shared" si="5"/>
        <v>10.64516129</v>
      </c>
      <c r="W187" s="18" t="str">
        <f t="shared" si="6"/>
        <v>Thursday</v>
      </c>
      <c r="X187" s="18">
        <f t="shared" si="7"/>
        <v>0</v>
      </c>
      <c r="Y187" s="14">
        <f>IFERROR(__xludf.DUMMYFUNCTION("IFERROR( INDEX( FILTER(Reference!$D:$D, Reference!$A:$A=$E187, Reference!$C:$C=$Q187), 1),"""")"),46052.0)</f>
        <v>46052</v>
      </c>
      <c r="Z187" s="18">
        <f t="shared" si="8"/>
        <v>20.2</v>
      </c>
      <c r="AA187" s="18">
        <f>IF(Z187=0,0, IF(Z187&gt;=LOOKUP(Q187,MinHr_Weekly_Bonus!A:A,MinHr_Weekly_Bonus!B:B), LOOKUP(Q187,MinHr_Weekly_Bonus!A:A,MinHr_Weekly_Bonus!C:C), 0))</f>
        <v>0</v>
      </c>
      <c r="AB187" s="15">
        <f t="shared" si="9"/>
        <v>186.8</v>
      </c>
      <c r="AC187" s="18" t="str">
        <f t="shared" si="10"/>
        <v/>
      </c>
    </row>
    <row r="188">
      <c r="A188" s="10" t="s">
        <v>36</v>
      </c>
      <c r="B188" s="12">
        <v>46051.0</v>
      </c>
      <c r="C188" s="10" t="s">
        <v>37</v>
      </c>
      <c r="D188" s="10" t="s">
        <v>9</v>
      </c>
      <c r="E188" s="10" t="s">
        <v>11</v>
      </c>
      <c r="F188" s="10" t="s">
        <v>7</v>
      </c>
      <c r="G188" s="10" t="s">
        <v>44</v>
      </c>
      <c r="H188" s="10" t="s">
        <v>37</v>
      </c>
      <c r="I188" s="13">
        <v>0.4201388888888889</v>
      </c>
      <c r="J188" s="13">
        <v>0.7923611111111111</v>
      </c>
      <c r="K188" s="10">
        <v>30.0</v>
      </c>
      <c r="L188" s="13">
        <v>0.4791666666666667</v>
      </c>
      <c r="M188" s="13">
        <v>0.7326388888888888</v>
      </c>
      <c r="N188" s="10">
        <v>55.0</v>
      </c>
      <c r="O188" s="10">
        <v>1.0</v>
      </c>
      <c r="P188" s="10">
        <v>65.0</v>
      </c>
      <c r="Q188" s="14">
        <f t="shared" si="1"/>
        <v>46052</v>
      </c>
      <c r="R188" s="15">
        <f t="shared" si="2"/>
        <v>8.433333333</v>
      </c>
      <c r="S188" s="16">
        <f>IFERROR(__xludf.DUMMYFUNCTION("IFERROR( INDEX( FILTER( Reference!$F:$F, Reference!$A:$A = $E188, Reference!$E:$E = $D188, Reference!$C:$C = $Q188),1),""RATE_NOT_FOUND"")"),26.0)</f>
        <v>26</v>
      </c>
      <c r="T188" s="15">
        <f t="shared" si="3"/>
        <v>219.2666667</v>
      </c>
      <c r="U188" s="15">
        <f t="shared" si="4"/>
        <v>5.166666667</v>
      </c>
      <c r="V188" s="17">
        <f t="shared" si="5"/>
        <v>12.58064516</v>
      </c>
      <c r="W188" s="18" t="str">
        <f t="shared" si="6"/>
        <v>Thursday</v>
      </c>
      <c r="X188" s="18">
        <f t="shared" si="7"/>
        <v>0</v>
      </c>
      <c r="Y188" s="14">
        <f>IFERROR(__xludf.DUMMYFUNCTION("IFERROR( INDEX( FILTER(Reference!$D:$D, Reference!$A:$A=$E188, Reference!$C:$C=$Q188), 1),"""")"),46052.0)</f>
        <v>46052</v>
      </c>
      <c r="Z188" s="18">
        <f t="shared" si="8"/>
        <v>25.83333333</v>
      </c>
      <c r="AA188" s="18">
        <f>IF(Z188=0,0, IF(Z188&gt;=LOOKUP(Q188,MinHr_Weekly_Bonus!A:A,MinHr_Weekly_Bonus!B:B), LOOKUP(Q188,MinHr_Weekly_Bonus!A:A,MinHr_Weekly_Bonus!C:C), 0))</f>
        <v>150</v>
      </c>
      <c r="AB188" s="15">
        <f t="shared" si="9"/>
        <v>219.2666667</v>
      </c>
      <c r="AC188" s="18" t="str">
        <f t="shared" si="10"/>
        <v/>
      </c>
    </row>
    <row r="189">
      <c r="A189" s="10" t="s">
        <v>36</v>
      </c>
      <c r="B189" s="12">
        <v>46051.0</v>
      </c>
      <c r="C189" s="10" t="s">
        <v>81</v>
      </c>
      <c r="D189" s="10" t="s">
        <v>8</v>
      </c>
      <c r="E189" s="10" t="s">
        <v>11</v>
      </c>
      <c r="F189" s="10" t="s">
        <v>7</v>
      </c>
      <c r="G189" s="10" t="s">
        <v>44</v>
      </c>
      <c r="H189" s="10" t="s">
        <v>47</v>
      </c>
      <c r="I189" s="13">
        <v>0.3958333333333333</v>
      </c>
      <c r="J189" s="13">
        <v>0.7861111111111111</v>
      </c>
      <c r="K189" s="10">
        <v>30.0</v>
      </c>
      <c r="L189" s="13">
        <v>0.4791666666666667</v>
      </c>
      <c r="M189" s="13">
        <v>0.7326388888888888</v>
      </c>
      <c r="N189" s="10">
        <v>50.0</v>
      </c>
      <c r="O189" s="10">
        <v>1.0</v>
      </c>
      <c r="P189" s="10">
        <v>116.0</v>
      </c>
      <c r="Q189" s="14">
        <f t="shared" si="1"/>
        <v>46052</v>
      </c>
      <c r="R189" s="15">
        <f t="shared" si="2"/>
        <v>8.866666667</v>
      </c>
      <c r="S189" s="16">
        <f>IFERROR(__xludf.DUMMYFUNCTION("IFERROR( INDEX( FILTER( Reference!$F:$F, Reference!$A:$A = $E189, Reference!$E:$E = $D189, Reference!$C:$C = $Q189),1),""RATE_NOT_FOUND"")"),24.0)</f>
        <v>24</v>
      </c>
      <c r="T189" s="15">
        <f t="shared" si="3"/>
        <v>212.8</v>
      </c>
      <c r="U189" s="15">
        <f t="shared" si="4"/>
        <v>5.25</v>
      </c>
      <c r="V189" s="17">
        <f t="shared" si="5"/>
        <v>22.0952381</v>
      </c>
      <c r="W189" s="18" t="str">
        <f t="shared" si="6"/>
        <v>Thursday</v>
      </c>
      <c r="X189" s="18">
        <f t="shared" si="7"/>
        <v>0</v>
      </c>
      <c r="Y189" s="14">
        <f>IFERROR(__xludf.DUMMYFUNCTION("IFERROR( INDEX( FILTER(Reference!$D:$D, Reference!$A:$A=$E189, Reference!$C:$C=$Q189), 1),"""")"),46052.0)</f>
        <v>46052</v>
      </c>
      <c r="Z189" s="18">
        <f t="shared" si="8"/>
        <v>10.41666667</v>
      </c>
      <c r="AA189" s="18">
        <f>IF(Z189=0,0, IF(Z189&gt;=LOOKUP(Q189,MinHr_Weekly_Bonus!A:A,MinHr_Weekly_Bonus!B:B), LOOKUP(Q189,MinHr_Weekly_Bonus!A:A,MinHr_Weekly_Bonus!C:C), 0))</f>
        <v>0</v>
      </c>
      <c r="AB189" s="15">
        <f t="shared" si="9"/>
        <v>212.8</v>
      </c>
      <c r="AC189" s="18" t="str">
        <f t="shared" si="10"/>
        <v/>
      </c>
    </row>
    <row r="190">
      <c r="A190" s="10" t="s">
        <v>36</v>
      </c>
      <c r="B190" s="12">
        <v>46051.0</v>
      </c>
      <c r="C190" s="10" t="s">
        <v>67</v>
      </c>
      <c r="D190" s="10" t="s">
        <v>8</v>
      </c>
      <c r="E190" s="10" t="s">
        <v>11</v>
      </c>
      <c r="F190" s="10" t="s">
        <v>7</v>
      </c>
      <c r="G190" s="10" t="s">
        <v>44</v>
      </c>
      <c r="H190" s="10" t="s">
        <v>47</v>
      </c>
      <c r="I190" s="13">
        <v>0.4479166666666667</v>
      </c>
      <c r="J190" s="13">
        <v>0.7868055555555555</v>
      </c>
      <c r="K190" s="10">
        <v>30.0</v>
      </c>
      <c r="L190" s="13">
        <v>0.4791666666666667</v>
      </c>
      <c r="M190" s="13">
        <v>0.7326388888888888</v>
      </c>
      <c r="N190" s="10">
        <v>55.0</v>
      </c>
      <c r="O190" s="10">
        <v>1.0</v>
      </c>
      <c r="P190" s="10">
        <v>92.0</v>
      </c>
      <c r="Q190" s="14">
        <f t="shared" si="1"/>
        <v>46052</v>
      </c>
      <c r="R190" s="15">
        <f t="shared" si="2"/>
        <v>7.633333333</v>
      </c>
      <c r="S190" s="16">
        <f>IFERROR(__xludf.DUMMYFUNCTION("IFERROR( INDEX( FILTER( Reference!$F:$F, Reference!$A:$A = $E190, Reference!$E:$E = $D190, Reference!$C:$C = $Q190),1),""RATE_NOT_FOUND"")"),24.0)</f>
        <v>24</v>
      </c>
      <c r="T190" s="15">
        <f t="shared" si="3"/>
        <v>183.2</v>
      </c>
      <c r="U190" s="15">
        <f t="shared" si="4"/>
        <v>5.166666667</v>
      </c>
      <c r="V190" s="17">
        <f t="shared" si="5"/>
        <v>17.80645161</v>
      </c>
      <c r="W190" s="18" t="str">
        <f t="shared" si="6"/>
        <v>Thursday</v>
      </c>
      <c r="X190" s="18">
        <f t="shared" si="7"/>
        <v>0</v>
      </c>
      <c r="Y190" s="14">
        <f>IFERROR(__xludf.DUMMYFUNCTION("IFERROR( INDEX( FILTER(Reference!$D:$D, Reference!$A:$A=$E190, Reference!$C:$C=$Q190), 1),"""")"),46052.0)</f>
        <v>46052</v>
      </c>
      <c r="Z190" s="18">
        <f t="shared" si="8"/>
        <v>19.83333333</v>
      </c>
      <c r="AA190" s="18">
        <f>IF(Z190=0,0, IF(Z190&gt;=LOOKUP(Q190,MinHr_Weekly_Bonus!A:A,MinHr_Weekly_Bonus!B:B), LOOKUP(Q190,MinHr_Weekly_Bonus!A:A,MinHr_Weekly_Bonus!C:C), 0))</f>
        <v>0</v>
      </c>
      <c r="AB190" s="15">
        <f t="shared" si="9"/>
        <v>183.2</v>
      </c>
      <c r="AC190" s="18" t="str">
        <f t="shared" si="10"/>
        <v/>
      </c>
    </row>
    <row r="191">
      <c r="A191" s="10" t="s">
        <v>36</v>
      </c>
      <c r="B191" s="12">
        <v>46051.0</v>
      </c>
      <c r="C191" s="10" t="s">
        <v>47</v>
      </c>
      <c r="D191" s="10" t="s">
        <v>9</v>
      </c>
      <c r="E191" s="10" t="s">
        <v>11</v>
      </c>
      <c r="F191" s="10" t="s">
        <v>7</v>
      </c>
      <c r="G191" s="10" t="s">
        <v>44</v>
      </c>
      <c r="H191" s="10" t="s">
        <v>47</v>
      </c>
      <c r="I191" s="13">
        <v>0.425</v>
      </c>
      <c r="J191" s="13">
        <v>0.7708333333333334</v>
      </c>
      <c r="K191" s="10">
        <v>30.0</v>
      </c>
      <c r="L191" s="13">
        <v>0.4895833333333333</v>
      </c>
      <c r="M191" s="13">
        <v>0.7291666666666666</v>
      </c>
      <c r="N191" s="10">
        <v>70.0</v>
      </c>
      <c r="O191" s="10">
        <v>1.0</v>
      </c>
      <c r="P191" s="10">
        <v>60.0</v>
      </c>
      <c r="Q191" s="14">
        <f t="shared" si="1"/>
        <v>46052</v>
      </c>
      <c r="R191" s="15">
        <f t="shared" si="2"/>
        <v>7.8</v>
      </c>
      <c r="S191" s="16">
        <f>IFERROR(__xludf.DUMMYFUNCTION("IFERROR( INDEX( FILTER( Reference!$F:$F, Reference!$A:$A = $E191, Reference!$E:$E = $D191, Reference!$C:$C = $Q191),1),""RATE_NOT_FOUND"")"),26.0)</f>
        <v>26</v>
      </c>
      <c r="T191" s="15">
        <f t="shared" si="3"/>
        <v>202.8</v>
      </c>
      <c r="U191" s="15">
        <f t="shared" si="4"/>
        <v>4.583333333</v>
      </c>
      <c r="V191" s="17">
        <f t="shared" si="5"/>
        <v>13.09090909</v>
      </c>
      <c r="W191" s="18" t="str">
        <f t="shared" si="6"/>
        <v>Thursday</v>
      </c>
      <c r="X191" s="18">
        <f t="shared" si="7"/>
        <v>0</v>
      </c>
      <c r="Y191" s="14">
        <f>IFERROR(__xludf.DUMMYFUNCTION("IFERROR( INDEX( FILTER(Reference!$D:$D, Reference!$A:$A=$E191, Reference!$C:$C=$Q191), 1),"""")"),46052.0)</f>
        <v>46052</v>
      </c>
      <c r="Z191" s="18">
        <f t="shared" si="8"/>
        <v>22.65</v>
      </c>
      <c r="AA191" s="18">
        <f>IF(Z191=0,0, IF(Z191&gt;=LOOKUP(Q191,MinHr_Weekly_Bonus!A:A,MinHr_Weekly_Bonus!B:B), LOOKUP(Q191,MinHr_Weekly_Bonus!A:A,MinHr_Weekly_Bonus!C:C), 0))</f>
        <v>0</v>
      </c>
      <c r="AB191" s="15">
        <f t="shared" si="9"/>
        <v>202.8</v>
      </c>
      <c r="AC191" s="18" t="str">
        <f t="shared" si="10"/>
        <v/>
      </c>
    </row>
    <row r="192">
      <c r="A192" s="10" t="s">
        <v>36</v>
      </c>
      <c r="B192" s="12">
        <v>46051.0</v>
      </c>
      <c r="C192" s="10" t="s">
        <v>82</v>
      </c>
      <c r="D192" s="10" t="s">
        <v>8</v>
      </c>
      <c r="E192" s="10" t="s">
        <v>6</v>
      </c>
      <c r="F192" s="10" t="s">
        <v>7</v>
      </c>
      <c r="G192" s="10" t="s">
        <v>44</v>
      </c>
      <c r="H192" s="10" t="s">
        <v>51</v>
      </c>
      <c r="I192" s="13">
        <v>0.3958333333333333</v>
      </c>
      <c r="J192" s="13">
        <v>0.7777777777777778</v>
      </c>
      <c r="K192" s="10">
        <v>30.0</v>
      </c>
      <c r="L192" s="13">
        <v>0.4895833333333333</v>
      </c>
      <c r="M192" s="13">
        <v>0.7291666666666666</v>
      </c>
      <c r="N192" s="10">
        <v>90.0</v>
      </c>
      <c r="O192" s="10">
        <v>1.0</v>
      </c>
      <c r="P192" s="10">
        <v>97.0</v>
      </c>
      <c r="Q192" s="14">
        <f t="shared" si="1"/>
        <v>46052</v>
      </c>
      <c r="R192" s="15">
        <f t="shared" si="2"/>
        <v>8.666666667</v>
      </c>
      <c r="S192" s="16">
        <f>IFERROR(__xludf.DUMMYFUNCTION("IFERROR( INDEX( FILTER( Reference!$F:$F, Reference!$A:$A = $E192, Reference!$E:$E = $D192, Reference!$C:$C = $Q192),1),""RATE_NOT_FOUND"")"),24.0)</f>
        <v>24</v>
      </c>
      <c r="T192" s="15">
        <f t="shared" si="3"/>
        <v>208</v>
      </c>
      <c r="U192" s="15">
        <f t="shared" si="4"/>
        <v>4.25</v>
      </c>
      <c r="V192" s="17">
        <f t="shared" si="5"/>
        <v>22.82352941</v>
      </c>
      <c r="W192" s="18" t="str">
        <f t="shared" si="6"/>
        <v>Thursday</v>
      </c>
      <c r="X192" s="18">
        <f t="shared" si="7"/>
        <v>0</v>
      </c>
      <c r="Y192" s="14">
        <f>IFERROR(__xludf.DUMMYFUNCTION("IFERROR( INDEX( FILTER(Reference!$D:$D, Reference!$A:$A=$E192, Reference!$C:$C=$Q192), 1),"""")"),46052.0)</f>
        <v>46052</v>
      </c>
      <c r="Z192" s="18">
        <f t="shared" si="8"/>
        <v>8.75</v>
      </c>
      <c r="AA192" s="18">
        <f>IF(Z192=0,0, IF(Z192&gt;=LOOKUP(Q192,MinHr_Weekly_Bonus!A:A,MinHr_Weekly_Bonus!B:B), LOOKUP(Q192,MinHr_Weekly_Bonus!A:A,MinHr_Weekly_Bonus!C:C), 0))</f>
        <v>0</v>
      </c>
      <c r="AB192" s="15">
        <f t="shared" si="9"/>
        <v>208</v>
      </c>
      <c r="AC192" s="18" t="str">
        <f t="shared" si="10"/>
        <v/>
      </c>
    </row>
    <row r="193">
      <c r="A193" s="10" t="s">
        <v>36</v>
      </c>
      <c r="B193" s="12">
        <v>46051.0</v>
      </c>
      <c r="C193" s="10" t="s">
        <v>71</v>
      </c>
      <c r="D193" s="10" t="s">
        <v>8</v>
      </c>
      <c r="E193" s="10" t="s">
        <v>6</v>
      </c>
      <c r="F193" s="10" t="s">
        <v>7</v>
      </c>
      <c r="G193" s="10" t="s">
        <v>44</v>
      </c>
      <c r="H193" s="10" t="s">
        <v>51</v>
      </c>
      <c r="I193" s="13">
        <v>0.44722222222222224</v>
      </c>
      <c r="J193" s="13">
        <v>0.7680555555555556</v>
      </c>
      <c r="K193" s="10">
        <v>30.0</v>
      </c>
      <c r="L193" s="13">
        <v>0.4895833333333333</v>
      </c>
      <c r="M193" s="13">
        <v>0.7291666666666666</v>
      </c>
      <c r="N193" s="10">
        <v>90.0</v>
      </c>
      <c r="O193" s="10">
        <v>1.0</v>
      </c>
      <c r="P193" s="10">
        <v>84.0</v>
      </c>
      <c r="Q193" s="14">
        <f t="shared" si="1"/>
        <v>46052</v>
      </c>
      <c r="R193" s="15">
        <f t="shared" si="2"/>
        <v>7.2</v>
      </c>
      <c r="S193" s="16">
        <f>IFERROR(__xludf.DUMMYFUNCTION("IFERROR( INDEX( FILTER( Reference!$F:$F, Reference!$A:$A = $E193, Reference!$E:$E = $D193, Reference!$C:$C = $Q193),1),""RATE_NOT_FOUND"")"),24.0)</f>
        <v>24</v>
      </c>
      <c r="T193" s="15">
        <f t="shared" si="3"/>
        <v>172.8</v>
      </c>
      <c r="U193" s="15">
        <f t="shared" si="4"/>
        <v>4.25</v>
      </c>
      <c r="V193" s="17">
        <f t="shared" si="5"/>
        <v>19.76470588</v>
      </c>
      <c r="W193" s="18" t="str">
        <f t="shared" si="6"/>
        <v>Thursday</v>
      </c>
      <c r="X193" s="18">
        <f t="shared" si="7"/>
        <v>0</v>
      </c>
      <c r="Y193" s="14">
        <f>IFERROR(__xludf.DUMMYFUNCTION("IFERROR( INDEX( FILTER(Reference!$D:$D, Reference!$A:$A=$E193, Reference!$C:$C=$Q193), 1),"""")"),46052.0)</f>
        <v>46052</v>
      </c>
      <c r="Z193" s="18">
        <f t="shared" si="8"/>
        <v>14.25</v>
      </c>
      <c r="AA193" s="18">
        <f>IF(Z193=0,0, IF(Z193&gt;=LOOKUP(Q193,MinHr_Weekly_Bonus!A:A,MinHr_Weekly_Bonus!B:B), LOOKUP(Q193,MinHr_Weekly_Bonus!A:A,MinHr_Weekly_Bonus!C:C), 0))</f>
        <v>0</v>
      </c>
      <c r="AB193" s="15">
        <f t="shared" si="9"/>
        <v>172.8</v>
      </c>
      <c r="AC193" s="18" t="str">
        <f t="shared" si="10"/>
        <v/>
      </c>
    </row>
    <row r="194">
      <c r="A194" s="10" t="s">
        <v>36</v>
      </c>
      <c r="B194" s="12">
        <v>46051.0</v>
      </c>
      <c r="C194" s="10" t="s">
        <v>51</v>
      </c>
      <c r="D194" s="10" t="s">
        <v>9</v>
      </c>
      <c r="E194" s="10" t="s">
        <v>6</v>
      </c>
      <c r="F194" s="10" t="s">
        <v>7</v>
      </c>
      <c r="G194" s="10" t="s">
        <v>44</v>
      </c>
      <c r="H194" s="10" t="s">
        <v>51</v>
      </c>
      <c r="I194" s="13">
        <v>0.4263888888888889</v>
      </c>
      <c r="J194" s="13">
        <v>0.7708333333333334</v>
      </c>
      <c r="K194" s="10">
        <v>30.0</v>
      </c>
      <c r="L194" s="13">
        <v>0.4826388888888889</v>
      </c>
      <c r="M194" s="13">
        <v>0.7291666666666666</v>
      </c>
      <c r="N194" s="10">
        <v>50.0</v>
      </c>
      <c r="O194" s="10">
        <v>1.0</v>
      </c>
      <c r="P194" s="10">
        <v>53.0</v>
      </c>
      <c r="Q194" s="14">
        <f t="shared" si="1"/>
        <v>46052</v>
      </c>
      <c r="R194" s="15">
        <f t="shared" si="2"/>
        <v>7.766666667</v>
      </c>
      <c r="S194" s="16">
        <f>IFERROR(__xludf.DUMMYFUNCTION("IFERROR( INDEX( FILTER( Reference!$F:$F, Reference!$A:$A = $E194, Reference!$E:$E = $D194, Reference!$C:$C = $Q194),1),""RATE_NOT_FOUND"")"),27.0)</f>
        <v>27</v>
      </c>
      <c r="T194" s="15">
        <f t="shared" si="3"/>
        <v>209.7</v>
      </c>
      <c r="U194" s="15">
        <f t="shared" si="4"/>
        <v>5.083333333</v>
      </c>
      <c r="V194" s="17">
        <f t="shared" si="5"/>
        <v>10.42622951</v>
      </c>
      <c r="W194" s="18" t="str">
        <f t="shared" si="6"/>
        <v>Thursday</v>
      </c>
      <c r="X194" s="18">
        <f t="shared" si="7"/>
        <v>0</v>
      </c>
      <c r="Y194" s="14">
        <f>IFERROR(__xludf.DUMMYFUNCTION("IFERROR( INDEX( FILTER(Reference!$D:$D, Reference!$A:$A=$E194, Reference!$C:$C=$Q194), 1),"""")"),46052.0)</f>
        <v>46052</v>
      </c>
      <c r="Z194" s="18">
        <f t="shared" si="8"/>
        <v>26.23333333</v>
      </c>
      <c r="AA194" s="18">
        <f>IF(Z194=0,0, IF(Z194&gt;=LOOKUP(Q194,MinHr_Weekly_Bonus!A:A,MinHr_Weekly_Bonus!B:B), LOOKUP(Q194,MinHr_Weekly_Bonus!A:A,MinHr_Weekly_Bonus!C:C), 0))</f>
        <v>150</v>
      </c>
      <c r="AB194" s="15">
        <f t="shared" si="9"/>
        <v>209.7</v>
      </c>
      <c r="AC194" s="18" t="str">
        <f t="shared" si="10"/>
        <v/>
      </c>
    </row>
    <row r="195">
      <c r="A195" s="10" t="s">
        <v>36</v>
      </c>
      <c r="B195" s="12">
        <v>46051.0</v>
      </c>
      <c r="C195" s="10" t="s">
        <v>83</v>
      </c>
      <c r="D195" s="10" t="s">
        <v>8</v>
      </c>
      <c r="E195" s="10" t="s">
        <v>6</v>
      </c>
      <c r="F195" s="10" t="s">
        <v>7</v>
      </c>
      <c r="G195" s="10" t="s">
        <v>44</v>
      </c>
      <c r="H195" s="10" t="s">
        <v>42</v>
      </c>
      <c r="I195" s="13">
        <v>0.3958333333333333</v>
      </c>
      <c r="J195" s="13">
        <v>0.7645833333333333</v>
      </c>
      <c r="K195" s="10">
        <v>30.0</v>
      </c>
      <c r="L195" s="13">
        <v>0.4826388888888889</v>
      </c>
      <c r="M195" s="13">
        <v>0.7291666666666666</v>
      </c>
      <c r="N195" s="10">
        <v>50.0</v>
      </c>
      <c r="O195" s="10">
        <v>1.0</v>
      </c>
      <c r="P195" s="10">
        <v>76.0</v>
      </c>
      <c r="Q195" s="14">
        <f t="shared" si="1"/>
        <v>46052</v>
      </c>
      <c r="R195" s="15">
        <f t="shared" si="2"/>
        <v>8.35</v>
      </c>
      <c r="S195" s="16">
        <f>IFERROR(__xludf.DUMMYFUNCTION("IFERROR( INDEX( FILTER( Reference!$F:$F, Reference!$A:$A = $E195, Reference!$E:$E = $D195, Reference!$C:$C = $Q195),1),""RATE_NOT_FOUND"")"),24.0)</f>
        <v>24</v>
      </c>
      <c r="T195" s="15">
        <f t="shared" si="3"/>
        <v>200.4</v>
      </c>
      <c r="U195" s="15">
        <f t="shared" si="4"/>
        <v>5.083333333</v>
      </c>
      <c r="V195" s="17">
        <f t="shared" si="5"/>
        <v>14.95081967</v>
      </c>
      <c r="W195" s="18" t="str">
        <f t="shared" si="6"/>
        <v>Thursday</v>
      </c>
      <c r="X195" s="18">
        <f t="shared" si="7"/>
        <v>0</v>
      </c>
      <c r="Y195" s="14">
        <f>IFERROR(__xludf.DUMMYFUNCTION("IFERROR( INDEX( FILTER(Reference!$D:$D, Reference!$A:$A=$E195, Reference!$C:$C=$Q195), 1),"""")"),46052.0)</f>
        <v>46052</v>
      </c>
      <c r="Z195" s="18">
        <f t="shared" si="8"/>
        <v>9.9</v>
      </c>
      <c r="AA195" s="18">
        <f>IF(Z195=0,0, IF(Z195&gt;=LOOKUP(Q195,MinHr_Weekly_Bonus!A:A,MinHr_Weekly_Bonus!B:B), LOOKUP(Q195,MinHr_Weekly_Bonus!A:A,MinHr_Weekly_Bonus!C:C), 0))</f>
        <v>0</v>
      </c>
      <c r="AB195" s="15">
        <f t="shared" si="9"/>
        <v>200.4</v>
      </c>
      <c r="AC195" s="18" t="str">
        <f t="shared" si="10"/>
        <v/>
      </c>
    </row>
    <row r="196">
      <c r="A196" s="10" t="s">
        <v>36</v>
      </c>
      <c r="B196" s="12">
        <v>46051.0</v>
      </c>
      <c r="C196" s="10" t="s">
        <v>69</v>
      </c>
      <c r="D196" s="10" t="s">
        <v>8</v>
      </c>
      <c r="E196" s="10" t="s">
        <v>6</v>
      </c>
      <c r="F196" s="10" t="s">
        <v>7</v>
      </c>
      <c r="G196" s="10" t="s">
        <v>44</v>
      </c>
      <c r="H196" s="10" t="s">
        <v>42</v>
      </c>
      <c r="I196" s="13">
        <v>0.44930555555555557</v>
      </c>
      <c r="J196" s="13">
        <v>0.76875</v>
      </c>
      <c r="K196" s="10">
        <v>30.0</v>
      </c>
      <c r="L196" s="13">
        <v>0.4895833333333333</v>
      </c>
      <c r="M196" s="13">
        <v>0.7291666666666666</v>
      </c>
      <c r="N196" s="10">
        <v>65.0</v>
      </c>
      <c r="O196" s="10">
        <v>1.0</v>
      </c>
      <c r="P196" s="10">
        <v>109.0</v>
      </c>
      <c r="Q196" s="14">
        <f t="shared" si="1"/>
        <v>46052</v>
      </c>
      <c r="R196" s="15">
        <f t="shared" si="2"/>
        <v>7.166666667</v>
      </c>
      <c r="S196" s="16">
        <f>IFERROR(__xludf.DUMMYFUNCTION("IFERROR( INDEX( FILTER( Reference!$F:$F, Reference!$A:$A = $E196, Reference!$E:$E = $D196, Reference!$C:$C = $Q196),1),""RATE_NOT_FOUND"")"),24.0)</f>
        <v>24</v>
      </c>
      <c r="T196" s="15">
        <f t="shared" si="3"/>
        <v>172</v>
      </c>
      <c r="U196" s="15">
        <f t="shared" si="4"/>
        <v>4.666666667</v>
      </c>
      <c r="V196" s="17">
        <f t="shared" si="5"/>
        <v>23.35714286</v>
      </c>
      <c r="W196" s="18" t="str">
        <f t="shared" si="6"/>
        <v>Thursday</v>
      </c>
      <c r="X196" s="18">
        <f t="shared" si="7"/>
        <v>0</v>
      </c>
      <c r="Y196" s="14">
        <f>IFERROR(__xludf.DUMMYFUNCTION("IFERROR( INDEX( FILTER(Reference!$D:$D, Reference!$A:$A=$E196, Reference!$C:$C=$Q196), 1),"""")"),46052.0)</f>
        <v>46052</v>
      </c>
      <c r="Z196" s="18">
        <f t="shared" si="8"/>
        <v>14.91666667</v>
      </c>
      <c r="AA196" s="18">
        <f>IF(Z196=0,0, IF(Z196&gt;=LOOKUP(Q196,MinHr_Weekly_Bonus!A:A,MinHr_Weekly_Bonus!B:B), LOOKUP(Q196,MinHr_Weekly_Bonus!A:A,MinHr_Weekly_Bonus!C:C), 0))</f>
        <v>0</v>
      </c>
      <c r="AB196" s="15">
        <f t="shared" si="9"/>
        <v>172</v>
      </c>
      <c r="AC196" s="18" t="str">
        <f t="shared" si="10"/>
        <v/>
      </c>
    </row>
    <row r="197">
      <c r="A197" s="10" t="s">
        <v>36</v>
      </c>
      <c r="B197" s="12">
        <v>46051.0</v>
      </c>
      <c r="C197" s="10" t="s">
        <v>75</v>
      </c>
      <c r="D197" s="10" t="s">
        <v>8</v>
      </c>
      <c r="E197" s="10" t="s">
        <v>6</v>
      </c>
      <c r="F197" s="10" t="s">
        <v>7</v>
      </c>
      <c r="G197" s="10" t="s">
        <v>44</v>
      </c>
      <c r="H197" s="10" t="s">
        <v>42</v>
      </c>
      <c r="I197" s="13">
        <v>0.44583333333333336</v>
      </c>
      <c r="J197" s="13">
        <v>0.7819444444444444</v>
      </c>
      <c r="K197" s="10">
        <v>30.0</v>
      </c>
      <c r="L197" s="13">
        <v>0.4895833333333333</v>
      </c>
      <c r="M197" s="13">
        <v>0.7291666666666666</v>
      </c>
      <c r="N197" s="10">
        <v>60.0</v>
      </c>
      <c r="O197" s="10">
        <v>1.0</v>
      </c>
      <c r="P197" s="10">
        <v>98.0</v>
      </c>
      <c r="Q197" s="14">
        <f t="shared" si="1"/>
        <v>46052</v>
      </c>
      <c r="R197" s="15">
        <f t="shared" si="2"/>
        <v>7.566666667</v>
      </c>
      <c r="S197" s="16">
        <f>IFERROR(__xludf.DUMMYFUNCTION("IFERROR( INDEX( FILTER( Reference!$F:$F, Reference!$A:$A = $E197, Reference!$E:$E = $D197, Reference!$C:$C = $Q197),1),""RATE_NOT_FOUND"")"),24.0)</f>
        <v>24</v>
      </c>
      <c r="T197" s="15">
        <f t="shared" si="3"/>
        <v>181.6</v>
      </c>
      <c r="U197" s="15">
        <f t="shared" si="4"/>
        <v>4.75</v>
      </c>
      <c r="V197" s="17">
        <f t="shared" si="5"/>
        <v>20.63157895</v>
      </c>
      <c r="W197" s="18" t="str">
        <f t="shared" si="6"/>
        <v>Thursday</v>
      </c>
      <c r="X197" s="18">
        <f t="shared" si="7"/>
        <v>0</v>
      </c>
      <c r="Y197" s="14">
        <f>IFERROR(__xludf.DUMMYFUNCTION("IFERROR( INDEX( FILTER(Reference!$D:$D, Reference!$A:$A=$E197, Reference!$C:$C=$Q197), 1),"""")"),46052.0)</f>
        <v>46052</v>
      </c>
      <c r="Z197" s="18">
        <f t="shared" si="8"/>
        <v>19.36666667</v>
      </c>
      <c r="AA197" s="18">
        <f>IF(Z197=0,0, IF(Z197&gt;=LOOKUP(Q197,MinHr_Weekly_Bonus!A:A,MinHr_Weekly_Bonus!B:B), LOOKUP(Q197,MinHr_Weekly_Bonus!A:A,MinHr_Weekly_Bonus!C:C), 0))</f>
        <v>0</v>
      </c>
      <c r="AB197" s="15">
        <f t="shared" si="9"/>
        <v>181.6</v>
      </c>
      <c r="AC197" s="18" t="str">
        <f t="shared" si="10"/>
        <v/>
      </c>
    </row>
    <row r="198">
      <c r="A198" s="10" t="s">
        <v>36</v>
      </c>
      <c r="B198" s="12">
        <v>46051.0</v>
      </c>
      <c r="C198" s="10" t="s">
        <v>42</v>
      </c>
      <c r="D198" s="10" t="s">
        <v>9</v>
      </c>
      <c r="E198" s="10" t="s">
        <v>6</v>
      </c>
      <c r="F198" s="10" t="s">
        <v>7</v>
      </c>
      <c r="G198" s="10" t="s">
        <v>44</v>
      </c>
      <c r="H198" s="10" t="s">
        <v>42</v>
      </c>
      <c r="I198" s="13">
        <v>0.4222222222222222</v>
      </c>
      <c r="J198" s="13">
        <v>0.8368055555555556</v>
      </c>
      <c r="K198" s="10">
        <v>30.0</v>
      </c>
      <c r="L198" s="13">
        <v>0.4791666666666667</v>
      </c>
      <c r="M198" s="13">
        <v>0.7291666666666666</v>
      </c>
      <c r="N198" s="10">
        <v>50.0</v>
      </c>
      <c r="O198" s="10">
        <v>1.0</v>
      </c>
      <c r="P198" s="10">
        <v>105.0</v>
      </c>
      <c r="Q198" s="14">
        <f t="shared" si="1"/>
        <v>46052</v>
      </c>
      <c r="R198" s="15">
        <f t="shared" si="2"/>
        <v>9.45</v>
      </c>
      <c r="S198" s="16">
        <f>IFERROR(__xludf.DUMMYFUNCTION("IFERROR( INDEX( FILTER( Reference!$F:$F, Reference!$A:$A = $E198, Reference!$E:$E = $D198, Reference!$C:$C = $Q198),1),""RATE_NOT_FOUND"")"),27.0)</f>
        <v>27</v>
      </c>
      <c r="T198" s="15">
        <f t="shared" si="3"/>
        <v>255.15</v>
      </c>
      <c r="U198" s="15">
        <f t="shared" si="4"/>
        <v>5.166666667</v>
      </c>
      <c r="V198" s="17">
        <f t="shared" si="5"/>
        <v>20.32258065</v>
      </c>
      <c r="W198" s="18" t="str">
        <f t="shared" si="6"/>
        <v>Thursday</v>
      </c>
      <c r="X198" s="18">
        <f t="shared" si="7"/>
        <v>0</v>
      </c>
      <c r="Y198" s="14">
        <f>IFERROR(__xludf.DUMMYFUNCTION("IFERROR( INDEX( FILTER(Reference!$D:$D, Reference!$A:$A=$E198, Reference!$C:$C=$Q198), 1),"""")"),46052.0)</f>
        <v>46052</v>
      </c>
      <c r="Z198" s="18">
        <f t="shared" si="8"/>
        <v>24.5</v>
      </c>
      <c r="AA198" s="18">
        <f>IF(Z198=0,0, IF(Z198&gt;=LOOKUP(Q198,MinHr_Weekly_Bonus!A:A,MinHr_Weekly_Bonus!B:B), LOOKUP(Q198,MinHr_Weekly_Bonus!A:A,MinHr_Weekly_Bonus!C:C), 0))</f>
        <v>0</v>
      </c>
      <c r="AB198" s="15">
        <f t="shared" si="9"/>
        <v>255.15</v>
      </c>
      <c r="AC198" s="18" t="str">
        <f t="shared" si="10"/>
        <v/>
      </c>
    </row>
    <row r="199">
      <c r="A199" s="10" t="s">
        <v>36</v>
      </c>
      <c r="B199" s="12">
        <v>46051.0</v>
      </c>
      <c r="C199" s="10" t="s">
        <v>77</v>
      </c>
      <c r="D199" s="10" t="s">
        <v>9</v>
      </c>
      <c r="E199" s="10" t="s">
        <v>6</v>
      </c>
      <c r="F199" s="10" t="s">
        <v>7</v>
      </c>
      <c r="G199" s="10" t="s">
        <v>44</v>
      </c>
      <c r="H199" s="10" t="s">
        <v>77</v>
      </c>
      <c r="I199" s="13">
        <v>0.4486111111111111</v>
      </c>
      <c r="J199" s="13">
        <v>0.8006944444444445</v>
      </c>
      <c r="K199" s="10">
        <v>30.0</v>
      </c>
      <c r="L199" s="13">
        <v>0.4791666666666667</v>
      </c>
      <c r="M199" s="13">
        <v>0.7291666666666666</v>
      </c>
      <c r="N199" s="10">
        <v>50.0</v>
      </c>
      <c r="O199" s="10">
        <v>1.0</v>
      </c>
      <c r="P199" s="10">
        <v>93.0</v>
      </c>
      <c r="Q199" s="14">
        <f t="shared" si="1"/>
        <v>46052</v>
      </c>
      <c r="R199" s="15">
        <f t="shared" si="2"/>
        <v>7.95</v>
      </c>
      <c r="S199" s="16">
        <f>IFERROR(__xludf.DUMMYFUNCTION("IFERROR( INDEX( FILTER( Reference!$F:$F, Reference!$A:$A = $E199, Reference!$E:$E = $D199, Reference!$C:$C = $Q199),1),""RATE_NOT_FOUND"")"),27.0)</f>
        <v>27</v>
      </c>
      <c r="T199" s="15">
        <f t="shared" si="3"/>
        <v>214.65</v>
      </c>
      <c r="U199" s="15">
        <f t="shared" si="4"/>
        <v>5.166666667</v>
      </c>
      <c r="V199" s="17">
        <f t="shared" si="5"/>
        <v>18</v>
      </c>
      <c r="W199" s="18" t="str">
        <f t="shared" si="6"/>
        <v>Thursday</v>
      </c>
      <c r="X199" s="18">
        <f t="shared" si="7"/>
        <v>0</v>
      </c>
      <c r="Y199" s="14">
        <f>IFERROR(__xludf.DUMMYFUNCTION("IFERROR( INDEX( FILTER(Reference!$D:$D, Reference!$A:$A=$E199, Reference!$C:$C=$Q199), 1),"""")"),46052.0)</f>
        <v>46052</v>
      </c>
      <c r="Z199" s="18">
        <f t="shared" si="8"/>
        <v>20.78333333</v>
      </c>
      <c r="AA199" s="18">
        <f>IF(Z199=0,0, IF(Z199&gt;=LOOKUP(Q199,MinHr_Weekly_Bonus!A:A,MinHr_Weekly_Bonus!B:B), LOOKUP(Q199,MinHr_Weekly_Bonus!A:A,MinHr_Weekly_Bonus!C:C), 0))</f>
        <v>0</v>
      </c>
      <c r="AB199" s="15">
        <f t="shared" si="9"/>
        <v>214.65</v>
      </c>
      <c r="AC199" s="18" t="str">
        <f t="shared" si="10"/>
        <v/>
      </c>
    </row>
    <row r="200">
      <c r="A200" s="10" t="s">
        <v>36</v>
      </c>
      <c r="B200" s="12">
        <v>46051.0</v>
      </c>
      <c r="C200" s="10" t="s">
        <v>84</v>
      </c>
      <c r="D200" s="10" t="s">
        <v>8</v>
      </c>
      <c r="E200" s="10" t="s">
        <v>6</v>
      </c>
      <c r="F200" s="10" t="s">
        <v>7</v>
      </c>
      <c r="G200" s="10" t="s">
        <v>44</v>
      </c>
      <c r="H200" s="10" t="s">
        <v>77</v>
      </c>
      <c r="I200" s="13">
        <v>0.3958333333333333</v>
      </c>
      <c r="J200" s="13">
        <v>0.7597222222222222</v>
      </c>
      <c r="K200" s="10">
        <v>30.0</v>
      </c>
      <c r="L200" s="13">
        <v>0.4791666666666667</v>
      </c>
      <c r="M200" s="13">
        <v>0.7291666666666666</v>
      </c>
      <c r="N200" s="10">
        <v>50.0</v>
      </c>
      <c r="O200" s="10">
        <v>1.0</v>
      </c>
      <c r="P200" s="10">
        <v>67.0</v>
      </c>
      <c r="Q200" s="14">
        <f t="shared" si="1"/>
        <v>46052</v>
      </c>
      <c r="R200" s="15">
        <f t="shared" si="2"/>
        <v>8.233333333</v>
      </c>
      <c r="S200" s="16">
        <f>IFERROR(__xludf.DUMMYFUNCTION("IFERROR( INDEX( FILTER( Reference!$F:$F, Reference!$A:$A = $E200, Reference!$E:$E = $D200, Reference!$C:$C = $Q200),1),""RATE_NOT_FOUND"")"),24.0)</f>
        <v>24</v>
      </c>
      <c r="T200" s="15">
        <f t="shared" si="3"/>
        <v>197.6</v>
      </c>
      <c r="U200" s="15">
        <f t="shared" si="4"/>
        <v>5.166666667</v>
      </c>
      <c r="V200" s="17">
        <f t="shared" si="5"/>
        <v>12.96774194</v>
      </c>
      <c r="W200" s="18" t="str">
        <f t="shared" si="6"/>
        <v>Thursday</v>
      </c>
      <c r="X200" s="18">
        <f t="shared" si="7"/>
        <v>0</v>
      </c>
      <c r="Y200" s="14">
        <f>IFERROR(__xludf.DUMMYFUNCTION("IFERROR( INDEX( FILTER(Reference!$D:$D, Reference!$A:$A=$E200, Reference!$C:$C=$Q200), 1),"""")"),46052.0)</f>
        <v>46052</v>
      </c>
      <c r="Z200" s="18">
        <f t="shared" si="8"/>
        <v>10.06666667</v>
      </c>
      <c r="AA200" s="18">
        <f>IF(Z200=0,0, IF(Z200&gt;=LOOKUP(Q200,MinHr_Weekly_Bonus!A:A,MinHr_Weekly_Bonus!B:B), LOOKUP(Q200,MinHr_Weekly_Bonus!A:A,MinHr_Weekly_Bonus!C:C), 0))</f>
        <v>0</v>
      </c>
      <c r="AB200" s="15">
        <f t="shared" si="9"/>
        <v>197.6</v>
      </c>
      <c r="AC200" s="18" t="str">
        <f t="shared" si="10"/>
        <v/>
      </c>
    </row>
    <row r="201">
      <c r="A201" s="10" t="s">
        <v>36</v>
      </c>
      <c r="B201" s="12">
        <v>46051.0</v>
      </c>
      <c r="C201" s="10" t="s">
        <v>61</v>
      </c>
      <c r="D201" s="10" t="s">
        <v>10</v>
      </c>
      <c r="E201" s="10" t="s">
        <v>6</v>
      </c>
      <c r="F201" s="10" t="s">
        <v>7</v>
      </c>
      <c r="G201" s="10" t="s">
        <v>44</v>
      </c>
      <c r="I201" s="13">
        <v>0.6423611111111112</v>
      </c>
      <c r="J201" s="13">
        <v>0.8333333333333334</v>
      </c>
      <c r="K201" s="10">
        <v>0.0</v>
      </c>
      <c r="O201" s="10">
        <v>1.0</v>
      </c>
      <c r="Q201" s="14">
        <f t="shared" si="1"/>
        <v>46052</v>
      </c>
      <c r="R201" s="15">
        <f t="shared" si="2"/>
        <v>4.583333333</v>
      </c>
      <c r="S201" s="16">
        <f>IFERROR(__xludf.DUMMYFUNCTION("IFERROR( INDEX( FILTER( Reference!$F:$F, Reference!$A:$A = $E201, Reference!$E:$E = $D201, Reference!$C:$C = $Q201),1),""RATE_NOT_FOUND"")"),22.0)</f>
        <v>22</v>
      </c>
      <c r="T201" s="15">
        <f t="shared" si="3"/>
        <v>100.8333333</v>
      </c>
      <c r="U201" s="15">
        <f t="shared" si="4"/>
        <v>0</v>
      </c>
      <c r="V201" s="17">
        <f t="shared" si="5"/>
        <v>0</v>
      </c>
      <c r="W201" s="18" t="str">
        <f t="shared" si="6"/>
        <v>Thursday</v>
      </c>
      <c r="X201" s="18">
        <f t="shared" si="7"/>
        <v>0</v>
      </c>
      <c r="Y201" s="14">
        <f>IFERROR(__xludf.DUMMYFUNCTION("IFERROR( INDEX( FILTER(Reference!$D:$D, Reference!$A:$A=$E201, Reference!$C:$C=$Q201), 1),"""")"),46052.0)</f>
        <v>46052</v>
      </c>
      <c r="Z201" s="18">
        <f t="shared" si="8"/>
        <v>0</v>
      </c>
      <c r="AA201" s="18">
        <f>IF(Z201=0,0, IF(Z201&gt;=LOOKUP(Q201,MinHr_Weekly_Bonus!A:A,MinHr_Weekly_Bonus!B:B), LOOKUP(Q201,MinHr_Weekly_Bonus!A:A,MinHr_Weekly_Bonus!C:C), 0))</f>
        <v>0</v>
      </c>
      <c r="AB201" s="15">
        <f t="shared" si="9"/>
        <v>100.8333333</v>
      </c>
      <c r="AC201" s="18" t="str">
        <f t="shared" si="10"/>
        <v/>
      </c>
    </row>
    <row r="202">
      <c r="A202" s="10" t="s">
        <v>36</v>
      </c>
      <c r="B202" s="12">
        <v>46052.0</v>
      </c>
      <c r="C202" s="10" t="s">
        <v>78</v>
      </c>
      <c r="D202" s="10" t="s">
        <v>8</v>
      </c>
      <c r="E202" s="10" t="s">
        <v>11</v>
      </c>
      <c r="F202" s="10" t="s">
        <v>7</v>
      </c>
      <c r="G202" s="10" t="s">
        <v>44</v>
      </c>
      <c r="H202" s="10" t="s">
        <v>51</v>
      </c>
      <c r="I202" s="13">
        <v>0.3993055555555556</v>
      </c>
      <c r="J202" s="13">
        <v>0.53125</v>
      </c>
      <c r="K202" s="10">
        <v>0.0</v>
      </c>
      <c r="L202" s="13">
        <v>0.4791666666666667</v>
      </c>
      <c r="M202" s="13">
        <v>0.5104166666666666</v>
      </c>
      <c r="N202" s="10">
        <v>10.0</v>
      </c>
      <c r="O202" s="10">
        <v>0.0</v>
      </c>
      <c r="P202" s="10">
        <v>61.0</v>
      </c>
      <c r="Q202" s="14">
        <f t="shared" si="1"/>
        <v>46052</v>
      </c>
      <c r="R202" s="15">
        <f t="shared" si="2"/>
        <v>3.166666667</v>
      </c>
      <c r="S202" s="16">
        <f>IFERROR(__xludf.DUMMYFUNCTION("IFERROR( INDEX( FILTER( Reference!$F:$F, Reference!$A:$A = $E202, Reference!$E:$E = $D202, Reference!$C:$C = $Q202),1),""RATE_NOT_FOUND"")"),24.0)</f>
        <v>24</v>
      </c>
      <c r="T202" s="15">
        <f t="shared" si="3"/>
        <v>76</v>
      </c>
      <c r="U202" s="15">
        <f t="shared" si="4"/>
        <v>0.5833333333</v>
      </c>
      <c r="V202" s="17">
        <f t="shared" si="5"/>
        <v>104.5714286</v>
      </c>
      <c r="W202" s="18" t="str">
        <f t="shared" si="6"/>
        <v>Friday</v>
      </c>
      <c r="X202" s="18">
        <f t="shared" si="7"/>
        <v>50</v>
      </c>
      <c r="Y202" s="14">
        <f>IFERROR(__xludf.DUMMYFUNCTION("IFERROR( INDEX( FILTER(Reference!$D:$D, Reference!$A:$A=$E202, Reference!$C:$C=$Q202), 1),"""")"),46052.0)</f>
        <v>46052</v>
      </c>
      <c r="Z202" s="18">
        <f t="shared" si="8"/>
        <v>5.75</v>
      </c>
      <c r="AA202" s="18">
        <f>IF(Z202=0,0, IF(Z202&gt;=LOOKUP(Q202,MinHr_Weekly_Bonus!A:A,MinHr_Weekly_Bonus!B:B), LOOKUP(Q202,MinHr_Weekly_Bonus!A:A,MinHr_Weekly_Bonus!C:C), 0))</f>
        <v>0</v>
      </c>
      <c r="AB202" s="15">
        <f t="shared" si="9"/>
        <v>126</v>
      </c>
      <c r="AC202" s="18" t="str">
        <f t="shared" si="10"/>
        <v>REVIEW: very high KPH</v>
      </c>
    </row>
    <row r="203">
      <c r="A203" s="10" t="s">
        <v>36</v>
      </c>
      <c r="B203" s="12">
        <v>46052.0</v>
      </c>
      <c r="C203" s="10" t="s">
        <v>51</v>
      </c>
      <c r="D203" s="10" t="s">
        <v>9</v>
      </c>
      <c r="E203" s="10" t="s">
        <v>11</v>
      </c>
      <c r="F203" s="10" t="s">
        <v>7</v>
      </c>
      <c r="G203" s="10" t="s">
        <v>44</v>
      </c>
      <c r="H203" s="10" t="s">
        <v>51</v>
      </c>
      <c r="I203" s="13">
        <v>0.41041666666666665</v>
      </c>
      <c r="J203" s="13">
        <v>0.7916666666666666</v>
      </c>
      <c r="K203" s="10">
        <v>30.0</v>
      </c>
      <c r="L203" s="13">
        <v>0.4777777777777778</v>
      </c>
      <c r="M203" s="13">
        <v>0.7361111111111112</v>
      </c>
      <c r="N203" s="10">
        <v>50.0</v>
      </c>
      <c r="O203" s="10">
        <v>1.0</v>
      </c>
      <c r="P203" s="10">
        <v>64.0</v>
      </c>
      <c r="Q203" s="14">
        <f t="shared" si="1"/>
        <v>46052</v>
      </c>
      <c r="R203" s="15">
        <f t="shared" si="2"/>
        <v>8.65</v>
      </c>
      <c r="S203" s="16">
        <f>IFERROR(__xludf.DUMMYFUNCTION("IFERROR( INDEX( FILTER( Reference!$F:$F, Reference!$A:$A = $E203, Reference!$E:$E = $D203, Reference!$C:$C = $Q203),1),""RATE_NOT_FOUND"")"),26.0)</f>
        <v>26</v>
      </c>
      <c r="T203" s="15">
        <f t="shared" si="3"/>
        <v>224.9</v>
      </c>
      <c r="U203" s="15">
        <f t="shared" si="4"/>
        <v>5.366666667</v>
      </c>
      <c r="V203" s="17">
        <f t="shared" si="5"/>
        <v>11.92546584</v>
      </c>
      <c r="W203" s="18" t="str">
        <f t="shared" si="6"/>
        <v>Friday</v>
      </c>
      <c r="X203" s="18">
        <f t="shared" si="7"/>
        <v>0</v>
      </c>
      <c r="Y203" s="14">
        <f>IFERROR(__xludf.DUMMYFUNCTION("IFERROR( INDEX( FILTER(Reference!$D:$D, Reference!$A:$A=$E203, Reference!$C:$C=$Q203), 1),"""")"),46052.0)</f>
        <v>46052</v>
      </c>
      <c r="Z203" s="18">
        <f t="shared" si="8"/>
        <v>26.23333333</v>
      </c>
      <c r="AA203" s="18">
        <f>IF(Z203=0,0, IF(Z203&gt;=LOOKUP(Q203,MinHr_Weekly_Bonus!A:A,MinHr_Weekly_Bonus!B:B), LOOKUP(Q203,MinHr_Weekly_Bonus!A:A,MinHr_Weekly_Bonus!C:C), 0))</f>
        <v>150</v>
      </c>
      <c r="AB203" s="15">
        <f t="shared" si="9"/>
        <v>224.9</v>
      </c>
      <c r="AC203" s="18" t="str">
        <f t="shared" si="10"/>
        <v/>
      </c>
    </row>
    <row r="204">
      <c r="A204" s="10" t="s">
        <v>36</v>
      </c>
      <c r="B204" s="12">
        <v>46052.0</v>
      </c>
      <c r="C204" s="10" t="s">
        <v>48</v>
      </c>
      <c r="D204" s="10" t="s">
        <v>8</v>
      </c>
      <c r="E204" s="10" t="s">
        <v>6</v>
      </c>
      <c r="F204" s="10" t="s">
        <v>7</v>
      </c>
      <c r="G204" s="10" t="s">
        <v>44</v>
      </c>
      <c r="H204" s="10" t="s">
        <v>37</v>
      </c>
      <c r="I204" s="13">
        <v>0.39861111111111114</v>
      </c>
      <c r="J204" s="13">
        <v>0.7708333333333334</v>
      </c>
      <c r="K204" s="10">
        <v>30.0</v>
      </c>
      <c r="L204" s="13">
        <v>0.4791666666666667</v>
      </c>
      <c r="M204" s="13">
        <v>0.7361111111111112</v>
      </c>
      <c r="N204" s="10">
        <v>50.0</v>
      </c>
      <c r="O204" s="10">
        <v>1.0</v>
      </c>
      <c r="P204" s="10">
        <v>104.0</v>
      </c>
      <c r="Q204" s="14">
        <f t="shared" si="1"/>
        <v>46052</v>
      </c>
      <c r="R204" s="15">
        <f t="shared" si="2"/>
        <v>8.433333333</v>
      </c>
      <c r="S204" s="16">
        <f>IFERROR(__xludf.DUMMYFUNCTION("IFERROR( INDEX( FILTER( Reference!$F:$F, Reference!$A:$A = $E204, Reference!$E:$E = $D204, Reference!$C:$C = $Q204),1),""RATE_NOT_FOUND"")"),24.0)</f>
        <v>24</v>
      </c>
      <c r="T204" s="15">
        <f t="shared" si="3"/>
        <v>202.4</v>
      </c>
      <c r="U204" s="15">
        <f t="shared" si="4"/>
        <v>5.333333333</v>
      </c>
      <c r="V204" s="17">
        <f t="shared" si="5"/>
        <v>19.5</v>
      </c>
      <c r="W204" s="18" t="str">
        <f t="shared" si="6"/>
        <v>Friday</v>
      </c>
      <c r="X204" s="18">
        <f t="shared" si="7"/>
        <v>50</v>
      </c>
      <c r="Y204" s="14">
        <f>IFERROR(__xludf.DUMMYFUNCTION("IFERROR( INDEX( FILTER(Reference!$D:$D, Reference!$A:$A=$E204, Reference!$C:$C=$Q204), 1),"""")"),46052.0)</f>
        <v>46052</v>
      </c>
      <c r="Z204" s="18">
        <f t="shared" si="8"/>
        <v>15.45</v>
      </c>
      <c r="AA204" s="18">
        <f>IF(Z204=0,0, IF(Z204&gt;=LOOKUP(Q204,MinHr_Weekly_Bonus!A:A,MinHr_Weekly_Bonus!B:B), LOOKUP(Q204,MinHr_Weekly_Bonus!A:A,MinHr_Weekly_Bonus!C:C), 0))</f>
        <v>0</v>
      </c>
      <c r="AB204" s="15">
        <f t="shared" si="9"/>
        <v>252.4</v>
      </c>
      <c r="AC204" s="18" t="str">
        <f t="shared" si="10"/>
        <v/>
      </c>
    </row>
    <row r="205">
      <c r="A205" s="10" t="s">
        <v>36</v>
      </c>
      <c r="B205" s="12">
        <v>46052.0</v>
      </c>
      <c r="C205" s="10" t="s">
        <v>65</v>
      </c>
      <c r="D205" s="10" t="s">
        <v>8</v>
      </c>
      <c r="E205" s="10" t="s">
        <v>6</v>
      </c>
      <c r="F205" s="10" t="s">
        <v>7</v>
      </c>
      <c r="G205" s="10" t="s">
        <v>44</v>
      </c>
      <c r="H205" s="10" t="s">
        <v>37</v>
      </c>
      <c r="I205" s="13">
        <v>0.39444444444444443</v>
      </c>
      <c r="J205" s="13">
        <v>0.78125</v>
      </c>
      <c r="K205" s="10">
        <v>30.0</v>
      </c>
      <c r="L205" s="13">
        <v>0.4861111111111111</v>
      </c>
      <c r="M205" s="13">
        <v>0.7291666666666666</v>
      </c>
      <c r="N205" s="10">
        <v>50.0</v>
      </c>
      <c r="O205" s="10">
        <v>1.0</v>
      </c>
      <c r="P205" s="10">
        <v>110.0</v>
      </c>
      <c r="Q205" s="14">
        <f t="shared" si="1"/>
        <v>46052</v>
      </c>
      <c r="R205" s="15">
        <f t="shared" si="2"/>
        <v>8.783333333</v>
      </c>
      <c r="S205" s="16">
        <f>IFERROR(__xludf.DUMMYFUNCTION("IFERROR( INDEX( FILTER( Reference!$F:$F, Reference!$A:$A = $E205, Reference!$E:$E = $D205, Reference!$C:$C = $Q205),1),""RATE_NOT_FOUND"")"),24.0)</f>
        <v>24</v>
      </c>
      <c r="T205" s="15">
        <f t="shared" si="3"/>
        <v>210.8</v>
      </c>
      <c r="U205" s="15">
        <f t="shared" si="4"/>
        <v>5</v>
      </c>
      <c r="V205" s="17">
        <f t="shared" si="5"/>
        <v>22</v>
      </c>
      <c r="W205" s="18" t="str">
        <f t="shared" si="6"/>
        <v>Friday</v>
      </c>
      <c r="X205" s="18">
        <f t="shared" si="7"/>
        <v>50</v>
      </c>
      <c r="Y205" s="14">
        <f>IFERROR(__xludf.DUMMYFUNCTION("IFERROR( INDEX( FILTER(Reference!$D:$D, Reference!$A:$A=$E205, Reference!$C:$C=$Q205), 1),"""")"),46052.0)</f>
        <v>46052</v>
      </c>
      <c r="Z205" s="18">
        <f t="shared" si="8"/>
        <v>20.83333333</v>
      </c>
      <c r="AA205" s="18">
        <f>IF(Z205=0,0, IF(Z205&gt;=LOOKUP(Q205,MinHr_Weekly_Bonus!A:A,MinHr_Weekly_Bonus!B:B), LOOKUP(Q205,MinHr_Weekly_Bonus!A:A,MinHr_Weekly_Bonus!C:C), 0))</f>
        <v>0</v>
      </c>
      <c r="AB205" s="15">
        <f t="shared" si="9"/>
        <v>260.8</v>
      </c>
      <c r="AC205" s="18" t="str">
        <f t="shared" si="10"/>
        <v/>
      </c>
    </row>
    <row r="206">
      <c r="A206" s="10" t="s">
        <v>36</v>
      </c>
      <c r="B206" s="12">
        <v>46052.0</v>
      </c>
      <c r="C206" s="10" t="s">
        <v>49</v>
      </c>
      <c r="D206" s="10" t="s">
        <v>8</v>
      </c>
      <c r="E206" s="10" t="s">
        <v>6</v>
      </c>
      <c r="F206" s="10" t="s">
        <v>7</v>
      </c>
      <c r="G206" s="10" t="s">
        <v>44</v>
      </c>
      <c r="H206" s="10" t="s">
        <v>37</v>
      </c>
      <c r="I206" s="13">
        <v>0.39861111111111114</v>
      </c>
      <c r="J206" s="13">
        <v>0.7736111111111111</v>
      </c>
      <c r="K206" s="10">
        <v>30.0</v>
      </c>
      <c r="L206" s="13">
        <v>0.4791666666666667</v>
      </c>
      <c r="M206" s="13">
        <v>0.7361111111111112</v>
      </c>
      <c r="N206" s="10">
        <v>50.0</v>
      </c>
      <c r="O206" s="10">
        <v>1.0</v>
      </c>
      <c r="P206" s="10">
        <v>51.0</v>
      </c>
      <c r="Q206" s="14">
        <f t="shared" si="1"/>
        <v>46052</v>
      </c>
      <c r="R206" s="15">
        <f t="shared" si="2"/>
        <v>8.5</v>
      </c>
      <c r="S206" s="16">
        <f>IFERROR(__xludf.DUMMYFUNCTION("IFERROR( INDEX( FILTER( Reference!$F:$F, Reference!$A:$A = $E206, Reference!$E:$E = $D206, Reference!$C:$C = $Q206),1),""RATE_NOT_FOUND"")"),24.0)</f>
        <v>24</v>
      </c>
      <c r="T206" s="15">
        <f t="shared" si="3"/>
        <v>204</v>
      </c>
      <c r="U206" s="15">
        <f t="shared" si="4"/>
        <v>5.333333333</v>
      </c>
      <c r="V206" s="17">
        <f t="shared" si="5"/>
        <v>9.5625</v>
      </c>
      <c r="W206" s="18" t="str">
        <f t="shared" si="6"/>
        <v>Friday</v>
      </c>
      <c r="X206" s="18">
        <f t="shared" si="7"/>
        <v>0</v>
      </c>
      <c r="Y206" s="14">
        <f>IFERROR(__xludf.DUMMYFUNCTION("IFERROR( INDEX( FILTER(Reference!$D:$D, Reference!$A:$A=$E206, Reference!$C:$C=$Q206), 1),"""")"),46052.0)</f>
        <v>46052</v>
      </c>
      <c r="Z206" s="18">
        <f t="shared" si="8"/>
        <v>20.61666667</v>
      </c>
      <c r="AA206" s="18">
        <f>IF(Z206=0,0, IF(Z206&gt;=LOOKUP(Q206,MinHr_Weekly_Bonus!A:A,MinHr_Weekly_Bonus!B:B), LOOKUP(Q206,MinHr_Weekly_Bonus!A:A,MinHr_Weekly_Bonus!C:C), 0))</f>
        <v>0</v>
      </c>
      <c r="AB206" s="15">
        <f t="shared" si="9"/>
        <v>204</v>
      </c>
      <c r="AC206" s="18" t="str">
        <f t="shared" si="10"/>
        <v/>
      </c>
    </row>
    <row r="207">
      <c r="A207" s="10" t="s">
        <v>36</v>
      </c>
      <c r="B207" s="12">
        <v>46052.0</v>
      </c>
      <c r="C207" s="10" t="s">
        <v>37</v>
      </c>
      <c r="D207" s="10" t="s">
        <v>9</v>
      </c>
      <c r="E207" s="10" t="s">
        <v>6</v>
      </c>
      <c r="F207" s="10" t="s">
        <v>7</v>
      </c>
      <c r="G207" s="10" t="s">
        <v>44</v>
      </c>
      <c r="H207" s="10" t="s">
        <v>37</v>
      </c>
      <c r="I207" s="13">
        <v>0.3923611111111111</v>
      </c>
      <c r="J207" s="13">
        <v>0.7916666666666666</v>
      </c>
      <c r="K207" s="10">
        <v>30.0</v>
      </c>
      <c r="L207" s="13">
        <v>0.46875</v>
      </c>
      <c r="M207" s="13">
        <v>0.7291666666666666</v>
      </c>
      <c r="N207" s="10">
        <v>50.0</v>
      </c>
      <c r="O207" s="10">
        <v>1.0</v>
      </c>
      <c r="P207" s="10">
        <v>108.0</v>
      </c>
      <c r="Q207" s="14">
        <f t="shared" si="1"/>
        <v>46052</v>
      </c>
      <c r="R207" s="15">
        <f t="shared" si="2"/>
        <v>9.083333333</v>
      </c>
      <c r="S207" s="16">
        <f>IFERROR(__xludf.DUMMYFUNCTION("IFERROR( INDEX( FILTER( Reference!$F:$F, Reference!$A:$A = $E207, Reference!$E:$E = $D207, Reference!$C:$C = $Q207),1),""RATE_NOT_FOUND"")"),27.0)</f>
        <v>27</v>
      </c>
      <c r="T207" s="15">
        <f t="shared" si="3"/>
        <v>245.25</v>
      </c>
      <c r="U207" s="15">
        <f t="shared" si="4"/>
        <v>5.416666667</v>
      </c>
      <c r="V207" s="17">
        <f t="shared" si="5"/>
        <v>19.93846154</v>
      </c>
      <c r="W207" s="18" t="str">
        <f t="shared" si="6"/>
        <v>Friday</v>
      </c>
      <c r="X207" s="18">
        <f t="shared" si="7"/>
        <v>50</v>
      </c>
      <c r="Y207" s="14">
        <f>IFERROR(__xludf.DUMMYFUNCTION("IFERROR( INDEX( FILTER(Reference!$D:$D, Reference!$A:$A=$E207, Reference!$C:$C=$Q207), 1),"""")"),46052.0)</f>
        <v>46052</v>
      </c>
      <c r="Z207" s="18">
        <f t="shared" si="8"/>
        <v>25.83333333</v>
      </c>
      <c r="AA207" s="18">
        <f>IF(Z207=0,0, IF(Z207&gt;=LOOKUP(Q207,MinHr_Weekly_Bonus!A:A,MinHr_Weekly_Bonus!B:B), LOOKUP(Q207,MinHr_Weekly_Bonus!A:A,MinHr_Weekly_Bonus!C:C), 0))</f>
        <v>150</v>
      </c>
      <c r="AB207" s="15">
        <f t="shared" si="9"/>
        <v>295.25</v>
      </c>
      <c r="AC207" s="18" t="str">
        <f t="shared" si="10"/>
        <v/>
      </c>
    </row>
    <row r="208">
      <c r="A208" s="10" t="s">
        <v>36</v>
      </c>
      <c r="B208" s="12">
        <v>46052.0</v>
      </c>
      <c r="C208" s="10" t="s">
        <v>76</v>
      </c>
      <c r="D208" s="10" t="s">
        <v>8</v>
      </c>
      <c r="E208" s="10" t="s">
        <v>6</v>
      </c>
      <c r="F208" s="10" t="s">
        <v>7</v>
      </c>
      <c r="G208" s="10" t="s">
        <v>44</v>
      </c>
      <c r="H208" s="10" t="s">
        <v>47</v>
      </c>
      <c r="I208" s="13">
        <v>0.39444444444444443</v>
      </c>
      <c r="J208" s="13">
        <v>0.7833333333333333</v>
      </c>
      <c r="K208" s="10">
        <v>30.0</v>
      </c>
      <c r="L208" s="13">
        <v>0.46875</v>
      </c>
      <c r="M208" s="13">
        <v>0.7291666666666666</v>
      </c>
      <c r="N208" s="10">
        <v>60.0</v>
      </c>
      <c r="O208" s="10">
        <v>1.0</v>
      </c>
      <c r="P208" s="10">
        <v>106.0</v>
      </c>
      <c r="Q208" s="14">
        <f t="shared" si="1"/>
        <v>46052</v>
      </c>
      <c r="R208" s="15">
        <f t="shared" si="2"/>
        <v>8.833333333</v>
      </c>
      <c r="S208" s="16">
        <f>IFERROR(__xludf.DUMMYFUNCTION("IFERROR( INDEX( FILTER( Reference!$F:$F, Reference!$A:$A = $E208, Reference!$E:$E = $D208, Reference!$C:$C = $Q208),1),""RATE_NOT_FOUND"")"),24.0)</f>
        <v>24</v>
      </c>
      <c r="T208" s="15">
        <f t="shared" si="3"/>
        <v>212</v>
      </c>
      <c r="U208" s="15">
        <f t="shared" si="4"/>
        <v>5.25</v>
      </c>
      <c r="V208" s="17">
        <f t="shared" si="5"/>
        <v>20.19047619</v>
      </c>
      <c r="W208" s="18" t="str">
        <f t="shared" si="6"/>
        <v>Friday</v>
      </c>
      <c r="X208" s="18">
        <f t="shared" si="7"/>
        <v>50</v>
      </c>
      <c r="Y208" s="14">
        <f>IFERROR(__xludf.DUMMYFUNCTION("IFERROR( INDEX( FILTER(Reference!$D:$D, Reference!$A:$A=$E208, Reference!$C:$C=$Q208), 1),"""")"),46052.0)</f>
        <v>46052</v>
      </c>
      <c r="Z208" s="18">
        <f t="shared" si="8"/>
        <v>20.15</v>
      </c>
      <c r="AA208" s="18">
        <f>IF(Z208=0,0, IF(Z208&gt;=LOOKUP(Q208,MinHr_Weekly_Bonus!A:A,MinHr_Weekly_Bonus!B:B), LOOKUP(Q208,MinHr_Weekly_Bonus!A:A,MinHr_Weekly_Bonus!C:C), 0))</f>
        <v>0</v>
      </c>
      <c r="AB208" s="15">
        <f t="shared" si="9"/>
        <v>262</v>
      </c>
      <c r="AC208" s="18" t="str">
        <f t="shared" si="10"/>
        <v/>
      </c>
    </row>
    <row r="209">
      <c r="A209" s="10" t="s">
        <v>36</v>
      </c>
      <c r="B209" s="12">
        <v>46052.0</v>
      </c>
      <c r="C209" s="10" t="s">
        <v>77</v>
      </c>
      <c r="D209" s="10" t="s">
        <v>8</v>
      </c>
      <c r="E209" s="10" t="s">
        <v>6</v>
      </c>
      <c r="F209" s="10" t="s">
        <v>7</v>
      </c>
      <c r="G209" s="10" t="s">
        <v>44</v>
      </c>
      <c r="H209" s="10" t="s">
        <v>47</v>
      </c>
      <c r="I209" s="13">
        <v>0.39652777777777776</v>
      </c>
      <c r="J209" s="13">
        <v>0.7902777777777777</v>
      </c>
      <c r="K209" s="10">
        <v>30.0</v>
      </c>
      <c r="L209" s="13">
        <v>0.46875</v>
      </c>
      <c r="M209" s="13">
        <v>0.7291666666666666</v>
      </c>
      <c r="N209" s="10">
        <v>50.0</v>
      </c>
      <c r="O209" s="10">
        <v>1.0</v>
      </c>
      <c r="P209" s="10">
        <v>96.0</v>
      </c>
      <c r="Q209" s="14">
        <f t="shared" si="1"/>
        <v>46052</v>
      </c>
      <c r="R209" s="15">
        <f t="shared" si="2"/>
        <v>8.95</v>
      </c>
      <c r="S209" s="16">
        <f>IFERROR(__xludf.DUMMYFUNCTION("IFERROR( INDEX( FILTER( Reference!$F:$F, Reference!$A:$A = $E209, Reference!$E:$E = $D209, Reference!$C:$C = $Q209),1),""RATE_NOT_FOUND"")"),24.0)</f>
        <v>24</v>
      </c>
      <c r="T209" s="15">
        <f t="shared" si="3"/>
        <v>214.8</v>
      </c>
      <c r="U209" s="15">
        <f t="shared" si="4"/>
        <v>5.416666667</v>
      </c>
      <c r="V209" s="17">
        <f t="shared" si="5"/>
        <v>17.72307692</v>
      </c>
      <c r="W209" s="18" t="str">
        <f t="shared" si="6"/>
        <v>Friday</v>
      </c>
      <c r="X209" s="18">
        <f t="shared" si="7"/>
        <v>0</v>
      </c>
      <c r="Y209" s="14">
        <f>IFERROR(__xludf.DUMMYFUNCTION("IFERROR( INDEX( FILTER(Reference!$D:$D, Reference!$A:$A=$E209, Reference!$C:$C=$Q209), 1),"""")"),46052.0)</f>
        <v>46052</v>
      </c>
      <c r="Z209" s="18">
        <f t="shared" si="8"/>
        <v>20.78333333</v>
      </c>
      <c r="AA209" s="18">
        <f>IF(Z209=0,0, IF(Z209&gt;=LOOKUP(Q209,MinHr_Weekly_Bonus!A:A,MinHr_Weekly_Bonus!B:B), LOOKUP(Q209,MinHr_Weekly_Bonus!A:A,MinHr_Weekly_Bonus!C:C), 0))</f>
        <v>0</v>
      </c>
      <c r="AB209" s="15">
        <f t="shared" si="9"/>
        <v>214.8</v>
      </c>
      <c r="AC209" s="18" t="str">
        <f t="shared" si="10"/>
        <v/>
      </c>
    </row>
    <row r="210">
      <c r="A210" s="10" t="s">
        <v>36</v>
      </c>
      <c r="B210" s="12">
        <v>46052.0</v>
      </c>
      <c r="C210" s="10" t="s">
        <v>52</v>
      </c>
      <c r="D210" s="10" t="s">
        <v>8</v>
      </c>
      <c r="E210" s="10" t="s">
        <v>6</v>
      </c>
      <c r="F210" s="10" t="s">
        <v>7</v>
      </c>
      <c r="G210" s="10" t="s">
        <v>44</v>
      </c>
      <c r="H210" s="10" t="s">
        <v>47</v>
      </c>
      <c r="I210" s="13">
        <v>0.45</v>
      </c>
      <c r="J210" s="13">
        <v>0.7951388888888888</v>
      </c>
      <c r="K210" s="10">
        <v>30.0</v>
      </c>
      <c r="L210" s="13">
        <v>0.46875</v>
      </c>
      <c r="M210" s="13">
        <v>0.7291666666666666</v>
      </c>
      <c r="N210" s="10">
        <v>50.0</v>
      </c>
      <c r="O210" s="10">
        <v>1.0</v>
      </c>
      <c r="P210" s="10">
        <v>114.0</v>
      </c>
      <c r="Q210" s="14">
        <f t="shared" si="1"/>
        <v>46052</v>
      </c>
      <c r="R210" s="15">
        <f t="shared" si="2"/>
        <v>7.783333333</v>
      </c>
      <c r="S210" s="16">
        <f>IFERROR(__xludf.DUMMYFUNCTION("IFERROR( INDEX( FILTER( Reference!$F:$F, Reference!$A:$A = $E210, Reference!$E:$E = $D210, Reference!$C:$C = $Q210),1),""RATE_NOT_FOUND"")"),24.0)</f>
        <v>24</v>
      </c>
      <c r="T210" s="15">
        <f t="shared" si="3"/>
        <v>186.8</v>
      </c>
      <c r="U210" s="15">
        <f t="shared" si="4"/>
        <v>5.416666667</v>
      </c>
      <c r="V210" s="17">
        <f t="shared" si="5"/>
        <v>21.04615385</v>
      </c>
      <c r="W210" s="18" t="str">
        <f t="shared" si="6"/>
        <v>Friday</v>
      </c>
      <c r="X210" s="18">
        <f t="shared" si="7"/>
        <v>50</v>
      </c>
      <c r="Y210" s="14">
        <f>IFERROR(__xludf.DUMMYFUNCTION("IFERROR( INDEX( FILTER(Reference!$D:$D, Reference!$A:$A=$E210, Reference!$C:$C=$Q210), 1),"""")"),46052.0)</f>
        <v>46052</v>
      </c>
      <c r="Z210" s="18">
        <f t="shared" si="8"/>
        <v>10.66666667</v>
      </c>
      <c r="AA210" s="18">
        <f>IF(Z210=0,0, IF(Z210&gt;=LOOKUP(Q210,MinHr_Weekly_Bonus!A:A,MinHr_Weekly_Bonus!B:B), LOOKUP(Q210,MinHr_Weekly_Bonus!A:A,MinHr_Weekly_Bonus!C:C), 0))</f>
        <v>0</v>
      </c>
      <c r="AB210" s="15">
        <f t="shared" si="9"/>
        <v>236.8</v>
      </c>
      <c r="AC210" s="18" t="str">
        <f t="shared" si="10"/>
        <v/>
      </c>
    </row>
    <row r="211">
      <c r="A211" s="10" t="s">
        <v>36</v>
      </c>
      <c r="B211" s="12">
        <v>46052.0</v>
      </c>
      <c r="C211" s="10" t="s">
        <v>47</v>
      </c>
      <c r="D211" s="10" t="s">
        <v>9</v>
      </c>
      <c r="E211" s="10" t="s">
        <v>6</v>
      </c>
      <c r="F211" s="10" t="s">
        <v>7</v>
      </c>
      <c r="G211" s="10" t="s">
        <v>44</v>
      </c>
      <c r="H211" s="10" t="s">
        <v>47</v>
      </c>
      <c r="I211" s="13">
        <v>0.3958333333333333</v>
      </c>
      <c r="J211" s="13">
        <v>0.7791666666666667</v>
      </c>
      <c r="K211" s="10">
        <v>30.0</v>
      </c>
      <c r="L211" s="13">
        <v>0.4951388888888889</v>
      </c>
      <c r="M211" s="13">
        <v>0.7291666666666666</v>
      </c>
      <c r="N211" s="10">
        <v>80.0</v>
      </c>
      <c r="O211" s="10">
        <v>1.0</v>
      </c>
      <c r="P211" s="10">
        <v>89.0</v>
      </c>
      <c r="Q211" s="14">
        <f t="shared" si="1"/>
        <v>46052</v>
      </c>
      <c r="R211" s="15">
        <f t="shared" si="2"/>
        <v>8.7</v>
      </c>
      <c r="S211" s="16">
        <f>IFERROR(__xludf.DUMMYFUNCTION("IFERROR( INDEX( FILTER( Reference!$F:$F, Reference!$A:$A = $E211, Reference!$E:$E = $D211, Reference!$C:$C = $Q211),1),""RATE_NOT_FOUND"")"),27.0)</f>
        <v>27</v>
      </c>
      <c r="T211" s="15">
        <f t="shared" si="3"/>
        <v>234.9</v>
      </c>
      <c r="U211" s="15">
        <f t="shared" si="4"/>
        <v>4.283333333</v>
      </c>
      <c r="V211" s="17">
        <f t="shared" si="5"/>
        <v>20.77821012</v>
      </c>
      <c r="W211" s="18" t="str">
        <f t="shared" si="6"/>
        <v>Friday</v>
      </c>
      <c r="X211" s="18">
        <f t="shared" si="7"/>
        <v>50</v>
      </c>
      <c r="Y211" s="14">
        <f>IFERROR(__xludf.DUMMYFUNCTION("IFERROR( INDEX( FILTER(Reference!$D:$D, Reference!$A:$A=$E211, Reference!$C:$C=$Q211), 1),"""")"),46052.0)</f>
        <v>46052</v>
      </c>
      <c r="Z211" s="18">
        <f t="shared" si="8"/>
        <v>22.65</v>
      </c>
      <c r="AA211" s="18">
        <f>IF(Z211=0,0, IF(Z211&gt;=LOOKUP(Q211,MinHr_Weekly_Bonus!A:A,MinHr_Weekly_Bonus!B:B), LOOKUP(Q211,MinHr_Weekly_Bonus!A:A,MinHr_Weekly_Bonus!C:C), 0))</f>
        <v>0</v>
      </c>
      <c r="AB211" s="15">
        <f t="shared" si="9"/>
        <v>284.9</v>
      </c>
      <c r="AC211" s="18" t="str">
        <f t="shared" si="10"/>
        <v/>
      </c>
    </row>
    <row r="212">
      <c r="A212" s="10" t="s">
        <v>36</v>
      </c>
      <c r="B212" s="12">
        <v>46052.0</v>
      </c>
      <c r="C212" s="10" t="s">
        <v>84</v>
      </c>
      <c r="D212" s="10" t="s">
        <v>8</v>
      </c>
      <c r="E212" s="10" t="s">
        <v>11</v>
      </c>
      <c r="F212" s="10" t="s">
        <v>7</v>
      </c>
      <c r="G212" s="10" t="s">
        <v>44</v>
      </c>
      <c r="H212" s="10" t="s">
        <v>75</v>
      </c>
      <c r="I212" s="13">
        <v>0.3972222222222222</v>
      </c>
      <c r="J212" s="13">
        <v>0.7583333333333333</v>
      </c>
      <c r="K212" s="10">
        <v>30.0</v>
      </c>
      <c r="L212" s="13">
        <v>0.4798611111111111</v>
      </c>
      <c r="M212" s="13">
        <v>0.7291666666666666</v>
      </c>
      <c r="N212" s="10">
        <v>65.0</v>
      </c>
      <c r="O212" s="10">
        <v>1.0</v>
      </c>
      <c r="P212" s="10">
        <v>95.0</v>
      </c>
      <c r="Q212" s="14">
        <f t="shared" si="1"/>
        <v>46052</v>
      </c>
      <c r="R212" s="15">
        <f t="shared" si="2"/>
        <v>8.166666667</v>
      </c>
      <c r="S212" s="16">
        <f>IFERROR(__xludf.DUMMYFUNCTION("IFERROR( INDEX( FILTER( Reference!$F:$F, Reference!$A:$A = $E212, Reference!$E:$E = $D212, Reference!$C:$C = $Q212),1),""RATE_NOT_FOUND"")"),24.0)</f>
        <v>24</v>
      </c>
      <c r="T212" s="15">
        <f t="shared" si="3"/>
        <v>196</v>
      </c>
      <c r="U212" s="15">
        <f t="shared" si="4"/>
        <v>4.9</v>
      </c>
      <c r="V212" s="17">
        <f t="shared" si="5"/>
        <v>19.3877551</v>
      </c>
      <c r="W212" s="18" t="str">
        <f t="shared" si="6"/>
        <v>Friday</v>
      </c>
      <c r="X212" s="18">
        <f t="shared" si="7"/>
        <v>50</v>
      </c>
      <c r="Y212" s="14">
        <f>IFERROR(__xludf.DUMMYFUNCTION("IFERROR( INDEX( FILTER(Reference!$D:$D, Reference!$A:$A=$E212, Reference!$C:$C=$Q212), 1),"""")"),46052.0)</f>
        <v>46052</v>
      </c>
      <c r="Z212" s="18">
        <f t="shared" si="8"/>
        <v>10.06666667</v>
      </c>
      <c r="AA212" s="18">
        <f>IF(Z212=0,0, IF(Z212&gt;=LOOKUP(Q212,MinHr_Weekly_Bonus!A:A,MinHr_Weekly_Bonus!B:B), LOOKUP(Q212,MinHr_Weekly_Bonus!A:A,MinHr_Weekly_Bonus!C:C), 0))</f>
        <v>0</v>
      </c>
      <c r="AB212" s="15">
        <f t="shared" si="9"/>
        <v>246</v>
      </c>
      <c r="AC212" s="18" t="str">
        <f t="shared" si="10"/>
        <v/>
      </c>
    </row>
    <row r="213">
      <c r="A213" s="10" t="s">
        <v>36</v>
      </c>
      <c r="B213" s="12">
        <v>46052.0</v>
      </c>
      <c r="C213" s="10" t="s">
        <v>83</v>
      </c>
      <c r="D213" s="10" t="s">
        <v>8</v>
      </c>
      <c r="E213" s="10" t="s">
        <v>11</v>
      </c>
      <c r="F213" s="10" t="s">
        <v>7</v>
      </c>
      <c r="G213" s="10" t="s">
        <v>44</v>
      </c>
      <c r="H213" s="10" t="s">
        <v>75</v>
      </c>
      <c r="I213" s="13">
        <v>0.39791666666666664</v>
      </c>
      <c r="J213" s="13">
        <v>0.7652777777777777</v>
      </c>
      <c r="K213" s="10">
        <v>30.0</v>
      </c>
      <c r="L213" s="13">
        <v>0.48333333333333334</v>
      </c>
      <c r="M213" s="13">
        <v>0.7291666666666666</v>
      </c>
      <c r="N213" s="10">
        <v>65.0</v>
      </c>
      <c r="O213" s="10">
        <v>1.0</v>
      </c>
      <c r="P213" s="10">
        <v>73.0</v>
      </c>
      <c r="Q213" s="14">
        <f t="shared" si="1"/>
        <v>46052</v>
      </c>
      <c r="R213" s="15">
        <f t="shared" si="2"/>
        <v>8.316666667</v>
      </c>
      <c r="S213" s="16">
        <f>IFERROR(__xludf.DUMMYFUNCTION("IFERROR( INDEX( FILTER( Reference!$F:$F, Reference!$A:$A = $E213, Reference!$E:$E = $D213, Reference!$C:$C = $Q213),1),""RATE_NOT_FOUND"")"),24.0)</f>
        <v>24</v>
      </c>
      <c r="T213" s="15">
        <f t="shared" si="3"/>
        <v>199.6</v>
      </c>
      <c r="U213" s="15">
        <f t="shared" si="4"/>
        <v>4.816666667</v>
      </c>
      <c r="V213" s="17">
        <f t="shared" si="5"/>
        <v>15.15570934</v>
      </c>
      <c r="W213" s="18" t="str">
        <f t="shared" si="6"/>
        <v>Friday</v>
      </c>
      <c r="X213" s="18">
        <f t="shared" si="7"/>
        <v>0</v>
      </c>
      <c r="Y213" s="14">
        <f>IFERROR(__xludf.DUMMYFUNCTION("IFERROR( INDEX( FILTER(Reference!$D:$D, Reference!$A:$A=$E213, Reference!$C:$C=$Q213), 1),"""")"),46052.0)</f>
        <v>46052</v>
      </c>
      <c r="Z213" s="18">
        <f t="shared" si="8"/>
        <v>9.9</v>
      </c>
      <c r="AA213" s="18">
        <f>IF(Z213=0,0, IF(Z213&gt;=LOOKUP(Q213,MinHr_Weekly_Bonus!A:A,MinHr_Weekly_Bonus!B:B), LOOKUP(Q213,MinHr_Weekly_Bonus!A:A,MinHr_Weekly_Bonus!C:C), 0))</f>
        <v>0</v>
      </c>
      <c r="AB213" s="15">
        <f t="shared" si="9"/>
        <v>199.6</v>
      </c>
      <c r="AC213" s="18" t="str">
        <f t="shared" si="10"/>
        <v/>
      </c>
    </row>
    <row r="214">
      <c r="A214" s="10" t="s">
        <v>36</v>
      </c>
      <c r="B214" s="12">
        <v>46052.0</v>
      </c>
      <c r="C214" s="10" t="s">
        <v>75</v>
      </c>
      <c r="D214" s="10" t="s">
        <v>9</v>
      </c>
      <c r="E214" s="10" t="s">
        <v>11</v>
      </c>
      <c r="F214" s="10" t="s">
        <v>7</v>
      </c>
      <c r="G214" s="10" t="s">
        <v>44</v>
      </c>
      <c r="H214" s="10" t="s">
        <v>75</v>
      </c>
      <c r="I214" s="13">
        <v>0.3958333333333333</v>
      </c>
      <c r="J214" s="13">
        <v>0.78125</v>
      </c>
      <c r="K214" s="10">
        <v>30.0</v>
      </c>
      <c r="L214" s="13">
        <v>0.4895833333333333</v>
      </c>
      <c r="M214" s="13">
        <v>0.7291666666666666</v>
      </c>
      <c r="N214" s="10">
        <v>50.0</v>
      </c>
      <c r="O214" s="10">
        <v>1.0</v>
      </c>
      <c r="P214" s="10">
        <v>105.0</v>
      </c>
      <c r="Q214" s="14">
        <f t="shared" si="1"/>
        <v>46052</v>
      </c>
      <c r="R214" s="15">
        <f t="shared" si="2"/>
        <v>8.75</v>
      </c>
      <c r="S214" s="16">
        <f>IFERROR(__xludf.DUMMYFUNCTION("IFERROR( INDEX( FILTER( Reference!$F:$F, Reference!$A:$A = $E214, Reference!$E:$E = $D214, Reference!$C:$C = $Q214),1),""RATE_NOT_FOUND"")"),26.0)</f>
        <v>26</v>
      </c>
      <c r="T214" s="15">
        <f t="shared" si="3"/>
        <v>227.5</v>
      </c>
      <c r="U214" s="15">
        <f t="shared" si="4"/>
        <v>4.916666667</v>
      </c>
      <c r="V214" s="17">
        <f t="shared" si="5"/>
        <v>21.3559322</v>
      </c>
      <c r="W214" s="18" t="str">
        <f t="shared" si="6"/>
        <v>Friday</v>
      </c>
      <c r="X214" s="18">
        <f t="shared" si="7"/>
        <v>50</v>
      </c>
      <c r="Y214" s="14">
        <f>IFERROR(__xludf.DUMMYFUNCTION("IFERROR( INDEX( FILTER(Reference!$D:$D, Reference!$A:$A=$E214, Reference!$C:$C=$Q214), 1),"""")"),46052.0)</f>
        <v>46052</v>
      </c>
      <c r="Z214" s="18">
        <f t="shared" si="8"/>
        <v>19.36666667</v>
      </c>
      <c r="AA214" s="18">
        <f>IF(Z214=0,0, IF(Z214&gt;=LOOKUP(Q214,MinHr_Weekly_Bonus!A:A,MinHr_Weekly_Bonus!B:B), LOOKUP(Q214,MinHr_Weekly_Bonus!A:A,MinHr_Weekly_Bonus!C:C), 0))</f>
        <v>0</v>
      </c>
      <c r="AB214" s="15">
        <f t="shared" si="9"/>
        <v>277.5</v>
      </c>
      <c r="AC214" s="18" t="str">
        <f t="shared" si="10"/>
        <v/>
      </c>
    </row>
    <row r="215">
      <c r="A215" s="10" t="s">
        <v>36</v>
      </c>
      <c r="B215" s="12">
        <v>46052.0</v>
      </c>
      <c r="C215" s="10" t="s">
        <v>82</v>
      </c>
      <c r="D215" s="10" t="s">
        <v>8</v>
      </c>
      <c r="E215" s="10" t="s">
        <v>11</v>
      </c>
      <c r="F215" s="10" t="s">
        <v>7</v>
      </c>
      <c r="G215" s="10" t="s">
        <v>44</v>
      </c>
      <c r="H215" s="10" t="s">
        <v>42</v>
      </c>
      <c r="I215" s="13">
        <v>0.39791666666666664</v>
      </c>
      <c r="J215" s="13">
        <v>0.7916666666666666</v>
      </c>
      <c r="K215" s="10">
        <v>30.0</v>
      </c>
      <c r="L215" s="13">
        <v>0.4861111111111111</v>
      </c>
      <c r="M215" s="13">
        <v>0.7291666666666666</v>
      </c>
      <c r="N215" s="10">
        <v>80.0</v>
      </c>
      <c r="O215" s="10">
        <v>1.0</v>
      </c>
      <c r="P215" s="10">
        <v>108.0</v>
      </c>
      <c r="Q215" s="14">
        <f t="shared" si="1"/>
        <v>46052</v>
      </c>
      <c r="R215" s="15">
        <f t="shared" si="2"/>
        <v>8.95</v>
      </c>
      <c r="S215" s="16">
        <f>IFERROR(__xludf.DUMMYFUNCTION("IFERROR( INDEX( FILTER( Reference!$F:$F, Reference!$A:$A = $E215, Reference!$E:$E = $D215, Reference!$C:$C = $Q215),1),""RATE_NOT_FOUND"")"),24.0)</f>
        <v>24</v>
      </c>
      <c r="T215" s="15">
        <f t="shared" si="3"/>
        <v>214.8</v>
      </c>
      <c r="U215" s="15">
        <f t="shared" si="4"/>
        <v>4.5</v>
      </c>
      <c r="V215" s="17">
        <f t="shared" si="5"/>
        <v>24</v>
      </c>
      <c r="W215" s="18" t="str">
        <f t="shared" si="6"/>
        <v>Friday</v>
      </c>
      <c r="X215" s="18">
        <f t="shared" si="7"/>
        <v>50</v>
      </c>
      <c r="Y215" s="14">
        <f>IFERROR(__xludf.DUMMYFUNCTION("IFERROR( INDEX( FILTER(Reference!$D:$D, Reference!$A:$A=$E215, Reference!$C:$C=$Q215), 1),"""")"),46052.0)</f>
        <v>46052</v>
      </c>
      <c r="Z215" s="18">
        <f t="shared" si="8"/>
        <v>8.75</v>
      </c>
      <c r="AA215" s="18">
        <f>IF(Z215=0,0, IF(Z215&gt;=LOOKUP(Q215,MinHr_Weekly_Bonus!A:A,MinHr_Weekly_Bonus!B:B), LOOKUP(Q215,MinHr_Weekly_Bonus!A:A,MinHr_Weekly_Bonus!C:C), 0))</f>
        <v>0</v>
      </c>
      <c r="AB215" s="15">
        <f t="shared" si="9"/>
        <v>264.8</v>
      </c>
      <c r="AC215" s="18" t="str">
        <f t="shared" si="10"/>
        <v/>
      </c>
    </row>
    <row r="216">
      <c r="A216" s="10" t="s">
        <v>36</v>
      </c>
      <c r="B216" s="12">
        <v>46052.0</v>
      </c>
      <c r="C216" s="10" t="s">
        <v>67</v>
      </c>
      <c r="D216" s="10" t="s">
        <v>8</v>
      </c>
      <c r="E216" s="10" t="s">
        <v>11</v>
      </c>
      <c r="F216" s="10" t="s">
        <v>7</v>
      </c>
      <c r="G216" s="10" t="s">
        <v>44</v>
      </c>
      <c r="H216" s="10" t="s">
        <v>42</v>
      </c>
      <c r="I216" s="13">
        <v>0.39652777777777776</v>
      </c>
      <c r="J216" s="13">
        <v>0.7923611111111111</v>
      </c>
      <c r="K216" s="10">
        <v>30.0</v>
      </c>
      <c r="L216" s="13">
        <v>0.4895833333333333</v>
      </c>
      <c r="M216" s="13">
        <v>0.7291666666666666</v>
      </c>
      <c r="N216" s="10">
        <v>50.0</v>
      </c>
      <c r="O216" s="10">
        <v>1.0</v>
      </c>
      <c r="P216" s="10">
        <v>93.0</v>
      </c>
      <c r="Q216" s="14">
        <f t="shared" si="1"/>
        <v>46052</v>
      </c>
      <c r="R216" s="15">
        <f t="shared" si="2"/>
        <v>9</v>
      </c>
      <c r="S216" s="16">
        <f>IFERROR(__xludf.DUMMYFUNCTION("IFERROR( INDEX( FILTER( Reference!$F:$F, Reference!$A:$A = $E216, Reference!$E:$E = $D216, Reference!$C:$C = $Q216),1),""RATE_NOT_FOUND"")"),24.0)</f>
        <v>24</v>
      </c>
      <c r="T216" s="15">
        <f t="shared" si="3"/>
        <v>216</v>
      </c>
      <c r="U216" s="15">
        <f t="shared" si="4"/>
        <v>4.916666667</v>
      </c>
      <c r="V216" s="17">
        <f t="shared" si="5"/>
        <v>18.91525424</v>
      </c>
      <c r="W216" s="18" t="str">
        <f t="shared" si="6"/>
        <v>Friday</v>
      </c>
      <c r="X216" s="18">
        <f t="shared" si="7"/>
        <v>50</v>
      </c>
      <c r="Y216" s="14">
        <f>IFERROR(__xludf.DUMMYFUNCTION("IFERROR( INDEX( FILTER(Reference!$D:$D, Reference!$A:$A=$E216, Reference!$C:$C=$Q216), 1),"""")"),46052.0)</f>
        <v>46052</v>
      </c>
      <c r="Z216" s="18">
        <f t="shared" si="8"/>
        <v>19.83333333</v>
      </c>
      <c r="AA216" s="18">
        <f>IF(Z216=0,0, IF(Z216&gt;=LOOKUP(Q216,MinHr_Weekly_Bonus!A:A,MinHr_Weekly_Bonus!B:B), LOOKUP(Q216,MinHr_Weekly_Bonus!A:A,MinHr_Weekly_Bonus!C:C), 0))</f>
        <v>0</v>
      </c>
      <c r="AB216" s="15">
        <f t="shared" si="9"/>
        <v>266</v>
      </c>
      <c r="AC216" s="18" t="str">
        <f t="shared" si="10"/>
        <v/>
      </c>
    </row>
    <row r="217">
      <c r="A217" s="10" t="s">
        <v>36</v>
      </c>
      <c r="B217" s="12">
        <v>46052.0</v>
      </c>
      <c r="C217" s="10" t="s">
        <v>70</v>
      </c>
      <c r="D217" s="10" t="s">
        <v>8</v>
      </c>
      <c r="E217" s="10" t="s">
        <v>11</v>
      </c>
      <c r="F217" s="10" t="s">
        <v>7</v>
      </c>
      <c r="G217" s="10" t="s">
        <v>44</v>
      </c>
      <c r="H217" s="10" t="s">
        <v>42</v>
      </c>
      <c r="I217" s="13">
        <v>0.40625</v>
      </c>
      <c r="J217" s="13">
        <v>0.7923611111111111</v>
      </c>
      <c r="K217" s="10">
        <v>30.0</v>
      </c>
      <c r="L217" s="13">
        <v>0.475</v>
      </c>
      <c r="M217" s="13">
        <v>0.7291666666666666</v>
      </c>
      <c r="N217" s="10">
        <v>80.0</v>
      </c>
      <c r="O217" s="10">
        <v>1.0</v>
      </c>
      <c r="P217" s="10">
        <v>71.0</v>
      </c>
      <c r="Q217" s="14">
        <f t="shared" si="1"/>
        <v>46052</v>
      </c>
      <c r="R217" s="15">
        <f t="shared" si="2"/>
        <v>8.766666667</v>
      </c>
      <c r="S217" s="16">
        <f>IFERROR(__xludf.DUMMYFUNCTION("IFERROR( INDEX( FILTER( Reference!$F:$F, Reference!$A:$A = $E217, Reference!$E:$E = $D217, Reference!$C:$C = $Q217),1),""RATE_NOT_FOUND"")"),24.0)</f>
        <v>24</v>
      </c>
      <c r="T217" s="15">
        <f t="shared" si="3"/>
        <v>210.4</v>
      </c>
      <c r="U217" s="15">
        <f t="shared" si="4"/>
        <v>4.766666667</v>
      </c>
      <c r="V217" s="17">
        <f t="shared" si="5"/>
        <v>14.8951049</v>
      </c>
      <c r="W217" s="18" t="str">
        <f t="shared" si="6"/>
        <v>Friday</v>
      </c>
      <c r="X217" s="18">
        <f t="shared" si="7"/>
        <v>0</v>
      </c>
      <c r="Y217" s="14">
        <f>IFERROR(__xludf.DUMMYFUNCTION("IFERROR( INDEX( FILTER(Reference!$D:$D, Reference!$A:$A=$E217, Reference!$C:$C=$Q217), 1),"""")"),46052.0)</f>
        <v>46052</v>
      </c>
      <c r="Z217" s="18">
        <f t="shared" si="8"/>
        <v>19.85</v>
      </c>
      <c r="AA217" s="18">
        <f>IF(Z217=0,0, IF(Z217&gt;=LOOKUP(Q217,MinHr_Weekly_Bonus!A:A,MinHr_Weekly_Bonus!B:B), LOOKUP(Q217,MinHr_Weekly_Bonus!A:A,MinHr_Weekly_Bonus!C:C), 0))</f>
        <v>0</v>
      </c>
      <c r="AB217" s="15">
        <f t="shared" si="9"/>
        <v>210.4</v>
      </c>
      <c r="AC217" s="18" t="str">
        <f t="shared" si="10"/>
        <v/>
      </c>
    </row>
    <row r="218">
      <c r="A218" s="10" t="s">
        <v>36</v>
      </c>
      <c r="B218" s="12">
        <v>46052.0</v>
      </c>
      <c r="C218" s="10" t="s">
        <v>42</v>
      </c>
      <c r="D218" s="10" t="s">
        <v>9</v>
      </c>
      <c r="E218" s="10" t="s">
        <v>11</v>
      </c>
      <c r="F218" s="10" t="s">
        <v>7</v>
      </c>
      <c r="G218" s="10" t="s">
        <v>44</v>
      </c>
      <c r="H218" s="10" t="s">
        <v>42</v>
      </c>
      <c r="I218" s="13">
        <v>0.39652777777777776</v>
      </c>
      <c r="J218" s="13">
        <v>0.7965277777777777</v>
      </c>
      <c r="K218" s="10">
        <v>30.0</v>
      </c>
      <c r="L218" s="13">
        <v>0.4791666666666667</v>
      </c>
      <c r="M218" s="13">
        <v>0.7291666666666666</v>
      </c>
      <c r="N218" s="10">
        <v>50.0</v>
      </c>
      <c r="O218" s="10">
        <v>1.0</v>
      </c>
      <c r="P218" s="10">
        <v>56.0</v>
      </c>
      <c r="Q218" s="14">
        <f t="shared" si="1"/>
        <v>46052</v>
      </c>
      <c r="R218" s="15">
        <f t="shared" si="2"/>
        <v>9.1</v>
      </c>
      <c r="S218" s="16">
        <f>IFERROR(__xludf.DUMMYFUNCTION("IFERROR( INDEX( FILTER( Reference!$F:$F, Reference!$A:$A = $E218, Reference!$E:$E = $D218, Reference!$C:$C = $Q218),1),""RATE_NOT_FOUND"")"),26.0)</f>
        <v>26</v>
      </c>
      <c r="T218" s="15">
        <f t="shared" si="3"/>
        <v>236.6</v>
      </c>
      <c r="U218" s="15">
        <f t="shared" si="4"/>
        <v>5.166666667</v>
      </c>
      <c r="V218" s="17">
        <f t="shared" si="5"/>
        <v>10.83870968</v>
      </c>
      <c r="W218" s="18" t="str">
        <f t="shared" si="6"/>
        <v>Friday</v>
      </c>
      <c r="X218" s="18">
        <f t="shared" si="7"/>
        <v>0</v>
      </c>
      <c r="Y218" s="14">
        <f>IFERROR(__xludf.DUMMYFUNCTION("IFERROR( INDEX( FILTER(Reference!$D:$D, Reference!$A:$A=$E218, Reference!$C:$C=$Q218), 1),"""")"),46052.0)</f>
        <v>46052</v>
      </c>
      <c r="Z218" s="18">
        <f t="shared" si="8"/>
        <v>24.5</v>
      </c>
      <c r="AA218" s="18">
        <f>IF(Z218=0,0, IF(Z218&gt;=LOOKUP(Q218,MinHr_Weekly_Bonus!A:A,MinHr_Weekly_Bonus!B:B), LOOKUP(Q218,MinHr_Weekly_Bonus!A:A,MinHr_Weekly_Bonus!C:C), 0))</f>
        <v>0</v>
      </c>
      <c r="AB218" s="15">
        <f t="shared" si="9"/>
        <v>236.6</v>
      </c>
      <c r="AC218" s="18" t="str">
        <f t="shared" si="10"/>
        <v/>
      </c>
    </row>
    <row r="219">
      <c r="A219" s="10" t="s">
        <v>36</v>
      </c>
      <c r="B219" s="12">
        <v>46052.0</v>
      </c>
      <c r="C219" s="10" t="s">
        <v>69</v>
      </c>
      <c r="D219" s="10" t="s">
        <v>8</v>
      </c>
      <c r="E219" s="10" t="s">
        <v>6</v>
      </c>
      <c r="F219" s="10" t="s">
        <v>7</v>
      </c>
      <c r="G219" s="10" t="s">
        <v>44</v>
      </c>
      <c r="H219" s="10" t="s">
        <v>54</v>
      </c>
      <c r="I219" s="13">
        <v>0.39861111111111114</v>
      </c>
      <c r="J219" s="13">
        <v>0.7548611111111111</v>
      </c>
      <c r="K219" s="10">
        <v>30.0</v>
      </c>
      <c r="L219" s="13">
        <v>0.4791666666666667</v>
      </c>
      <c r="M219" s="13">
        <v>0.7291666666666666</v>
      </c>
      <c r="N219" s="10">
        <v>60.0</v>
      </c>
      <c r="O219" s="10">
        <v>1.0</v>
      </c>
      <c r="P219" s="10">
        <v>67.0</v>
      </c>
      <c r="Q219" s="14">
        <f t="shared" si="1"/>
        <v>46052</v>
      </c>
      <c r="R219" s="15">
        <f t="shared" si="2"/>
        <v>8.05</v>
      </c>
      <c r="S219" s="16">
        <f>IFERROR(__xludf.DUMMYFUNCTION("IFERROR( INDEX( FILTER( Reference!$F:$F, Reference!$A:$A = $E219, Reference!$E:$E = $D219, Reference!$C:$C = $Q219),1),""RATE_NOT_FOUND"")"),24.0)</f>
        <v>24</v>
      </c>
      <c r="T219" s="15">
        <f t="shared" si="3"/>
        <v>193.2</v>
      </c>
      <c r="U219" s="15">
        <f t="shared" si="4"/>
        <v>5</v>
      </c>
      <c r="V219" s="17">
        <f t="shared" si="5"/>
        <v>13.4</v>
      </c>
      <c r="W219" s="18" t="str">
        <f t="shared" si="6"/>
        <v>Friday</v>
      </c>
      <c r="X219" s="18">
        <f t="shared" si="7"/>
        <v>0</v>
      </c>
      <c r="Y219" s="14">
        <f>IFERROR(__xludf.DUMMYFUNCTION("IFERROR( INDEX( FILTER(Reference!$D:$D, Reference!$A:$A=$E219, Reference!$C:$C=$Q219), 1),"""")"),46052.0)</f>
        <v>46052</v>
      </c>
      <c r="Z219" s="18">
        <f t="shared" si="8"/>
        <v>14.91666667</v>
      </c>
      <c r="AA219" s="18">
        <f>IF(Z219=0,0, IF(Z219&gt;=LOOKUP(Q219,MinHr_Weekly_Bonus!A:A,MinHr_Weekly_Bonus!B:B), LOOKUP(Q219,MinHr_Weekly_Bonus!A:A,MinHr_Weekly_Bonus!C:C), 0))</f>
        <v>0</v>
      </c>
      <c r="AB219" s="15">
        <f t="shared" si="9"/>
        <v>193.2</v>
      </c>
      <c r="AC219" s="18" t="str">
        <f t="shared" si="10"/>
        <v/>
      </c>
    </row>
    <row r="220">
      <c r="A220" s="10" t="s">
        <v>36</v>
      </c>
      <c r="B220" s="12">
        <v>46052.0</v>
      </c>
      <c r="C220" s="10" t="s">
        <v>81</v>
      </c>
      <c r="D220" s="10" t="s">
        <v>8</v>
      </c>
      <c r="E220" s="10" t="s">
        <v>6</v>
      </c>
      <c r="F220" s="10" t="s">
        <v>7</v>
      </c>
      <c r="G220" s="10" t="s">
        <v>44</v>
      </c>
      <c r="H220" s="10" t="s">
        <v>54</v>
      </c>
      <c r="I220" s="13">
        <v>0.40902777777777777</v>
      </c>
      <c r="J220" s="13">
        <v>0.7604166666666666</v>
      </c>
      <c r="K220" s="10">
        <v>30.0</v>
      </c>
      <c r="L220" s="13">
        <v>0.4791666666666667</v>
      </c>
      <c r="M220" s="13">
        <v>0.7291666666666666</v>
      </c>
      <c r="N220" s="10">
        <v>50.0</v>
      </c>
      <c r="O220" s="10">
        <v>1.0</v>
      </c>
      <c r="P220" s="10">
        <v>55.0</v>
      </c>
      <c r="Q220" s="14">
        <f t="shared" si="1"/>
        <v>46052</v>
      </c>
      <c r="R220" s="15">
        <f t="shared" si="2"/>
        <v>7.933333333</v>
      </c>
      <c r="S220" s="16">
        <f>IFERROR(__xludf.DUMMYFUNCTION("IFERROR( INDEX( FILTER( Reference!$F:$F, Reference!$A:$A = $E220, Reference!$E:$E = $D220, Reference!$C:$C = $Q220),1),""RATE_NOT_FOUND"")"),24.0)</f>
        <v>24</v>
      </c>
      <c r="T220" s="15">
        <f t="shared" si="3"/>
        <v>190.4</v>
      </c>
      <c r="U220" s="15">
        <f t="shared" si="4"/>
        <v>5.166666667</v>
      </c>
      <c r="V220" s="17">
        <f t="shared" si="5"/>
        <v>10.64516129</v>
      </c>
      <c r="W220" s="18" t="str">
        <f t="shared" si="6"/>
        <v>Friday</v>
      </c>
      <c r="X220" s="18">
        <f t="shared" si="7"/>
        <v>0</v>
      </c>
      <c r="Y220" s="14">
        <f>IFERROR(__xludf.DUMMYFUNCTION("IFERROR( INDEX( FILTER(Reference!$D:$D, Reference!$A:$A=$E220, Reference!$C:$C=$Q220), 1),"""")"),46052.0)</f>
        <v>46052</v>
      </c>
      <c r="Z220" s="18">
        <f t="shared" si="8"/>
        <v>10.41666667</v>
      </c>
      <c r="AA220" s="18">
        <f>IF(Z220=0,0, IF(Z220&gt;=LOOKUP(Q220,MinHr_Weekly_Bonus!A:A,MinHr_Weekly_Bonus!B:B), LOOKUP(Q220,MinHr_Weekly_Bonus!A:A,MinHr_Weekly_Bonus!C:C), 0))</f>
        <v>0</v>
      </c>
      <c r="AB220" s="15">
        <f t="shared" si="9"/>
        <v>190.4</v>
      </c>
      <c r="AC220" s="18" t="str">
        <f t="shared" si="10"/>
        <v/>
      </c>
    </row>
    <row r="221">
      <c r="A221" s="10" t="s">
        <v>36</v>
      </c>
      <c r="B221" s="12">
        <v>46052.0</v>
      </c>
      <c r="C221" s="10" t="s">
        <v>43</v>
      </c>
      <c r="D221" s="10" t="s">
        <v>8</v>
      </c>
      <c r="E221" s="10" t="s">
        <v>6</v>
      </c>
      <c r="F221" s="10" t="s">
        <v>7</v>
      </c>
      <c r="G221" s="10" t="s">
        <v>44</v>
      </c>
      <c r="H221" s="10" t="s">
        <v>54</v>
      </c>
      <c r="I221" s="13">
        <v>0.39861111111111114</v>
      </c>
      <c r="J221" s="13">
        <v>0.7819444444444444</v>
      </c>
      <c r="K221" s="10">
        <v>30.0</v>
      </c>
      <c r="L221" s="13">
        <v>0.4791666666666667</v>
      </c>
      <c r="M221" s="13">
        <v>0.7291666666666666</v>
      </c>
      <c r="N221" s="10">
        <v>50.0</v>
      </c>
      <c r="O221" s="10">
        <v>1.0</v>
      </c>
      <c r="P221" s="10">
        <v>62.0</v>
      </c>
      <c r="Q221" s="14">
        <f t="shared" si="1"/>
        <v>46052</v>
      </c>
      <c r="R221" s="15">
        <f t="shared" si="2"/>
        <v>8.7</v>
      </c>
      <c r="S221" s="16">
        <f>IFERROR(__xludf.DUMMYFUNCTION("IFERROR( INDEX( FILTER( Reference!$F:$F, Reference!$A:$A = $E221, Reference!$E:$E = $D221, Reference!$C:$C = $Q221),1),""RATE_NOT_FOUND"")"),24.0)</f>
        <v>24</v>
      </c>
      <c r="T221" s="15">
        <f t="shared" si="3"/>
        <v>208.8</v>
      </c>
      <c r="U221" s="15">
        <f t="shared" si="4"/>
        <v>5.166666667</v>
      </c>
      <c r="V221" s="17">
        <f t="shared" si="5"/>
        <v>12</v>
      </c>
      <c r="W221" s="18" t="str">
        <f t="shared" si="6"/>
        <v>Friday</v>
      </c>
      <c r="X221" s="18">
        <f t="shared" si="7"/>
        <v>0</v>
      </c>
      <c r="Y221" s="14">
        <f>IFERROR(__xludf.DUMMYFUNCTION("IFERROR( INDEX( FILTER(Reference!$D:$D, Reference!$A:$A=$E221, Reference!$C:$C=$Q221), 1),"""")"),46052.0)</f>
        <v>46052</v>
      </c>
      <c r="Z221" s="18">
        <f t="shared" si="8"/>
        <v>19.7</v>
      </c>
      <c r="AA221" s="18">
        <f>IF(Z221=0,0, IF(Z221&gt;=LOOKUP(Q221,MinHr_Weekly_Bonus!A:A,MinHr_Weekly_Bonus!B:B), LOOKUP(Q221,MinHr_Weekly_Bonus!A:A,MinHr_Weekly_Bonus!C:C), 0))</f>
        <v>0</v>
      </c>
      <c r="AB221" s="15">
        <f t="shared" si="9"/>
        <v>208.8</v>
      </c>
      <c r="AC221" s="18" t="str">
        <f t="shared" si="10"/>
        <v/>
      </c>
    </row>
    <row r="222">
      <c r="A222" s="10" t="s">
        <v>36</v>
      </c>
      <c r="B222" s="12">
        <v>46052.0</v>
      </c>
      <c r="C222" s="10" t="s">
        <v>54</v>
      </c>
      <c r="D222" s="10" t="s">
        <v>9</v>
      </c>
      <c r="E222" s="10" t="s">
        <v>6</v>
      </c>
      <c r="F222" s="10" t="s">
        <v>7</v>
      </c>
      <c r="G222" s="10" t="s">
        <v>44</v>
      </c>
      <c r="H222" s="10" t="s">
        <v>54</v>
      </c>
      <c r="I222" s="13">
        <v>0.3958333333333333</v>
      </c>
      <c r="J222" s="13">
        <v>0.7888888888888889</v>
      </c>
      <c r="K222" s="10">
        <v>30.0</v>
      </c>
      <c r="L222" s="13">
        <v>0.4826388888888889</v>
      </c>
      <c r="M222" s="13">
        <v>0.7395833333333334</v>
      </c>
      <c r="N222" s="10">
        <v>50.0</v>
      </c>
      <c r="O222" s="10">
        <v>1.0</v>
      </c>
      <c r="P222" s="10">
        <v>117.0</v>
      </c>
      <c r="Q222" s="14">
        <f t="shared" si="1"/>
        <v>46052</v>
      </c>
      <c r="R222" s="15">
        <f t="shared" si="2"/>
        <v>8.933333333</v>
      </c>
      <c r="S222" s="16">
        <f>IFERROR(__xludf.DUMMYFUNCTION("IFERROR( INDEX( FILTER( Reference!$F:$F, Reference!$A:$A = $E222, Reference!$E:$E = $D222, Reference!$C:$C = $Q222),1),""RATE_NOT_FOUND"")"),27.0)</f>
        <v>27</v>
      </c>
      <c r="T222" s="15">
        <f t="shared" si="3"/>
        <v>241.2</v>
      </c>
      <c r="U222" s="15">
        <f t="shared" si="4"/>
        <v>5.333333333</v>
      </c>
      <c r="V222" s="17">
        <f t="shared" si="5"/>
        <v>21.9375</v>
      </c>
      <c r="W222" s="18" t="str">
        <f t="shared" si="6"/>
        <v>Friday</v>
      </c>
      <c r="X222" s="18">
        <f t="shared" si="7"/>
        <v>50</v>
      </c>
      <c r="Y222" s="14">
        <f>IFERROR(__xludf.DUMMYFUNCTION("IFERROR( INDEX( FILTER(Reference!$D:$D, Reference!$A:$A=$E222, Reference!$C:$C=$Q222), 1),"""")"),46052.0)</f>
        <v>46052</v>
      </c>
      <c r="Z222" s="18">
        <f t="shared" si="8"/>
        <v>15.4</v>
      </c>
      <c r="AA222" s="18">
        <f>IF(Z222=0,0, IF(Z222&gt;=LOOKUP(Q222,MinHr_Weekly_Bonus!A:A,MinHr_Weekly_Bonus!B:B), LOOKUP(Q222,MinHr_Weekly_Bonus!A:A,MinHr_Weekly_Bonus!C:C), 0))</f>
        <v>0</v>
      </c>
      <c r="AB222" s="15">
        <f t="shared" si="9"/>
        <v>291.2</v>
      </c>
      <c r="AC222" s="18" t="str">
        <f t="shared" si="10"/>
        <v/>
      </c>
    </row>
    <row r="223">
      <c r="A223" s="10" t="s">
        <v>36</v>
      </c>
      <c r="B223" s="12">
        <v>46052.0</v>
      </c>
      <c r="C223" s="10" t="s">
        <v>68</v>
      </c>
      <c r="D223" s="10" t="s">
        <v>8</v>
      </c>
      <c r="E223" s="10" t="s">
        <v>6</v>
      </c>
      <c r="F223" s="10" t="s">
        <v>7</v>
      </c>
      <c r="G223" s="10" t="s">
        <v>44</v>
      </c>
      <c r="H223" s="10" t="s">
        <v>54</v>
      </c>
      <c r="I223" s="13">
        <v>0.3958333333333333</v>
      </c>
      <c r="J223" s="13">
        <v>0.7756944444444445</v>
      </c>
      <c r="K223" s="10">
        <v>30.0</v>
      </c>
      <c r="L223" s="13">
        <v>0.4736111111111111</v>
      </c>
      <c r="M223" s="13">
        <v>0.7326388888888888</v>
      </c>
      <c r="N223" s="10">
        <v>50.0</v>
      </c>
      <c r="O223" s="10">
        <v>1.0</v>
      </c>
      <c r="P223" s="10">
        <v>112.0</v>
      </c>
      <c r="Q223" s="14">
        <f t="shared" si="1"/>
        <v>46052</v>
      </c>
      <c r="R223" s="15">
        <f t="shared" si="2"/>
        <v>8.616666667</v>
      </c>
      <c r="S223" s="16">
        <f>IFERROR(__xludf.DUMMYFUNCTION("IFERROR( INDEX( FILTER( Reference!$F:$F, Reference!$A:$A = $E223, Reference!$E:$E = $D223, Reference!$C:$C = $Q223),1),""RATE_NOT_FOUND"")"),24.0)</f>
        <v>24</v>
      </c>
      <c r="T223" s="15">
        <f t="shared" si="3"/>
        <v>206.8</v>
      </c>
      <c r="U223" s="15">
        <f t="shared" si="4"/>
        <v>5.383333333</v>
      </c>
      <c r="V223" s="17">
        <f t="shared" si="5"/>
        <v>20.80495356</v>
      </c>
      <c r="W223" s="18" t="str">
        <f t="shared" si="6"/>
        <v>Friday</v>
      </c>
      <c r="X223" s="18">
        <f t="shared" si="7"/>
        <v>50</v>
      </c>
      <c r="Y223" s="14">
        <f>IFERROR(__xludf.DUMMYFUNCTION("IFERROR( INDEX( FILTER(Reference!$D:$D, Reference!$A:$A=$E223, Reference!$C:$C=$Q223), 1),"""")"),46052.0)</f>
        <v>46052</v>
      </c>
      <c r="Z223" s="18">
        <f t="shared" si="8"/>
        <v>26</v>
      </c>
      <c r="AA223" s="18">
        <f>IF(Z223=0,0, IF(Z223&gt;=LOOKUP(Q223,MinHr_Weekly_Bonus!A:A,MinHr_Weekly_Bonus!B:B), LOOKUP(Q223,MinHr_Weekly_Bonus!A:A,MinHr_Weekly_Bonus!C:C), 0))</f>
        <v>150</v>
      </c>
      <c r="AB223" s="15">
        <f t="shared" si="9"/>
        <v>256.8</v>
      </c>
      <c r="AC223" s="18" t="str">
        <f t="shared" si="10"/>
        <v/>
      </c>
    </row>
    <row r="224">
      <c r="A224" s="10" t="s">
        <v>36</v>
      </c>
      <c r="B224" s="12">
        <v>46052.0</v>
      </c>
      <c r="C224" s="10" t="s">
        <v>61</v>
      </c>
      <c r="D224" s="10" t="s">
        <v>10</v>
      </c>
      <c r="E224" s="10" t="s">
        <v>6</v>
      </c>
      <c r="F224" s="10" t="s">
        <v>7</v>
      </c>
      <c r="G224" s="10" t="s">
        <v>44</v>
      </c>
      <c r="I224" s="13">
        <v>0.6465277777777778</v>
      </c>
      <c r="J224" s="13">
        <v>0.84375</v>
      </c>
      <c r="K224" s="10">
        <v>0.0</v>
      </c>
      <c r="O224" s="10">
        <v>1.0</v>
      </c>
      <c r="Q224" s="14">
        <f t="shared" si="1"/>
        <v>46052</v>
      </c>
      <c r="R224" s="15">
        <f t="shared" si="2"/>
        <v>4.733333333</v>
      </c>
      <c r="S224" s="16">
        <f>IFERROR(__xludf.DUMMYFUNCTION("IFERROR( INDEX( FILTER( Reference!$F:$F, Reference!$A:$A = $E224, Reference!$E:$E = $D224, Reference!$C:$C = $Q224),1),""RATE_NOT_FOUND"")"),22.0)</f>
        <v>22</v>
      </c>
      <c r="T224" s="15">
        <f t="shared" si="3"/>
        <v>104.1333333</v>
      </c>
      <c r="U224" s="15">
        <f t="shared" si="4"/>
        <v>0</v>
      </c>
      <c r="V224" s="17">
        <f t="shared" si="5"/>
        <v>0</v>
      </c>
      <c r="W224" s="18" t="str">
        <f t="shared" si="6"/>
        <v>Friday</v>
      </c>
      <c r="X224" s="18">
        <f t="shared" si="7"/>
        <v>0</v>
      </c>
      <c r="Y224" s="14">
        <f>IFERROR(__xludf.DUMMYFUNCTION("IFERROR( INDEX( FILTER(Reference!$D:$D, Reference!$A:$A=$E224, Reference!$C:$C=$Q224), 1),"""")"),46052.0)</f>
        <v>46052</v>
      </c>
      <c r="Z224" s="18">
        <f t="shared" si="8"/>
        <v>0</v>
      </c>
      <c r="AA224" s="18">
        <f>IF(Z224=0,0, IF(Z224&gt;=LOOKUP(Q224,MinHr_Weekly_Bonus!A:A,MinHr_Weekly_Bonus!B:B), LOOKUP(Q224,MinHr_Weekly_Bonus!A:A,MinHr_Weekly_Bonus!C:C), 0))</f>
        <v>0</v>
      </c>
      <c r="AB224" s="15">
        <f t="shared" si="9"/>
        <v>104.1333333</v>
      </c>
      <c r="AC224" s="18" t="str">
        <f t="shared" si="10"/>
        <v/>
      </c>
    </row>
    <row r="225">
      <c r="A225" s="10" t="s">
        <v>36</v>
      </c>
      <c r="B225" s="12">
        <v>46052.0</v>
      </c>
      <c r="C225" s="10" t="s">
        <v>39</v>
      </c>
      <c r="D225" s="10" t="s">
        <v>8</v>
      </c>
      <c r="E225" s="10" t="s">
        <v>6</v>
      </c>
      <c r="F225" s="10" t="s">
        <v>7</v>
      </c>
      <c r="G225" s="10" t="s">
        <v>38</v>
      </c>
      <c r="H225" s="10" t="s">
        <v>54</v>
      </c>
      <c r="I225" s="13">
        <v>0.3972222222222222</v>
      </c>
      <c r="J225" s="13">
        <v>0.4479166666666667</v>
      </c>
      <c r="K225" s="10">
        <v>0.0</v>
      </c>
      <c r="O225" s="10">
        <v>0.0</v>
      </c>
      <c r="P225" s="10">
        <v>0.0</v>
      </c>
      <c r="Q225" s="14">
        <f t="shared" si="1"/>
        <v>46052</v>
      </c>
      <c r="R225" s="15">
        <f t="shared" si="2"/>
        <v>1.216666667</v>
      </c>
      <c r="S225" s="16">
        <f>IFERROR(__xludf.DUMMYFUNCTION("IFERROR( INDEX( FILTER( Reference!$F:$F, Reference!$A:$A = $E225, Reference!$E:$E = $D225, Reference!$C:$C = $Q225),1),""RATE_NOT_FOUND"")"),24.0)</f>
        <v>24</v>
      </c>
      <c r="T225" s="15">
        <f t="shared" si="3"/>
        <v>29.2</v>
      </c>
      <c r="U225" s="15">
        <f t="shared" si="4"/>
        <v>0</v>
      </c>
      <c r="V225" s="17">
        <f t="shared" si="5"/>
        <v>0</v>
      </c>
      <c r="W225" s="18" t="str">
        <f t="shared" si="6"/>
        <v>Friday</v>
      </c>
      <c r="X225" s="18">
        <f t="shared" si="7"/>
        <v>0</v>
      </c>
      <c r="Y225" s="14">
        <f>IFERROR(__xludf.DUMMYFUNCTION("IFERROR( INDEX( FILTER(Reference!$D:$D, Reference!$A:$A=$E225, Reference!$C:$C=$Q225), 1),"""")"),46052.0)</f>
        <v>46052</v>
      </c>
      <c r="Z225" s="18">
        <f t="shared" si="8"/>
        <v>14.66666667</v>
      </c>
      <c r="AA225" s="18">
        <f>IF(Z225=0,0, IF(Z225&gt;=LOOKUP(Q225,MinHr_Weekly_Bonus!A:A,MinHr_Weekly_Bonus!B:B), LOOKUP(Q225,MinHr_Weekly_Bonus!A:A,MinHr_Weekly_Bonus!C:C), 0))</f>
        <v>0</v>
      </c>
      <c r="AB225" s="15">
        <f t="shared" si="9"/>
        <v>29.2</v>
      </c>
      <c r="AC225" s="18" t="str">
        <f t="shared" si="10"/>
        <v/>
      </c>
    </row>
    <row r="226">
      <c r="A226" s="10" t="s">
        <v>36</v>
      </c>
      <c r="B226" s="12">
        <v>46053.0</v>
      </c>
      <c r="C226" s="10" t="s">
        <v>68</v>
      </c>
      <c r="D226" s="10" t="s">
        <v>8</v>
      </c>
      <c r="E226" s="10" t="s">
        <v>6</v>
      </c>
      <c r="F226" s="10" t="s">
        <v>7</v>
      </c>
      <c r="G226" s="10" t="s">
        <v>44</v>
      </c>
      <c r="H226" s="10" t="s">
        <v>51</v>
      </c>
      <c r="I226" s="13">
        <v>0.3548611111111111</v>
      </c>
      <c r="J226" s="13">
        <v>0.6784722222222223</v>
      </c>
      <c r="K226" s="10">
        <v>30.0</v>
      </c>
      <c r="L226" s="13">
        <v>0.3958333333333333</v>
      </c>
      <c r="M226" s="13">
        <v>0.6458333333333334</v>
      </c>
      <c r="N226" s="10">
        <v>80.0</v>
      </c>
      <c r="O226" s="10">
        <v>1.0</v>
      </c>
      <c r="P226" s="10">
        <v>80.0</v>
      </c>
      <c r="Q226" s="14">
        <f t="shared" si="1"/>
        <v>46059</v>
      </c>
      <c r="R226" s="15">
        <f t="shared" si="2"/>
        <v>7.266666667</v>
      </c>
      <c r="S226" s="16">
        <f>IFERROR(__xludf.DUMMYFUNCTION("IFERROR( INDEX( FILTER( Reference!$F:$F, Reference!$A:$A = $E226, Reference!$E:$E = $D226, Reference!$C:$C = $Q226),1),""RATE_NOT_FOUND"")"),25.0)</f>
        <v>25</v>
      </c>
      <c r="T226" s="15">
        <f t="shared" si="3"/>
        <v>181.6666667</v>
      </c>
      <c r="U226" s="15">
        <f t="shared" si="4"/>
        <v>4.666666667</v>
      </c>
      <c r="V226" s="17">
        <f t="shared" si="5"/>
        <v>17.14285714</v>
      </c>
      <c r="W226" s="18" t="str">
        <f t="shared" si="6"/>
        <v>Saturday</v>
      </c>
      <c r="X226" s="18">
        <f t="shared" si="7"/>
        <v>0</v>
      </c>
      <c r="Y226" s="14">
        <f>IFERROR(__xludf.DUMMYFUNCTION("IFERROR( INDEX( FILTER(Reference!$D:$D, Reference!$A:$A=$E226, Reference!$C:$C=$Q226), 1),"""")"),46066.0)</f>
        <v>46066</v>
      </c>
      <c r="Z226" s="18">
        <f t="shared" si="8"/>
        <v>4.666666667</v>
      </c>
      <c r="AA226" s="18">
        <f>IF(Z226=0,0, IF(Z226&gt;=LOOKUP(Q226,MinHr_Weekly_Bonus!A:A,MinHr_Weekly_Bonus!B:B), LOOKUP(Q226,MinHr_Weekly_Bonus!A:A,MinHr_Weekly_Bonus!C:C), 0))</f>
        <v>0</v>
      </c>
      <c r="AB226" s="15">
        <f t="shared" si="9"/>
        <v>181.6666667</v>
      </c>
      <c r="AC226" s="18" t="str">
        <f t="shared" si="10"/>
        <v/>
      </c>
    </row>
    <row r="227">
      <c r="A227" s="10" t="s">
        <v>36</v>
      </c>
      <c r="B227" s="12">
        <v>46053.0</v>
      </c>
      <c r="C227" s="10" t="s">
        <v>39</v>
      </c>
      <c r="D227" s="10" t="s">
        <v>8</v>
      </c>
      <c r="E227" s="10" t="s">
        <v>6</v>
      </c>
      <c r="F227" s="10" t="s">
        <v>7</v>
      </c>
      <c r="G227" s="10" t="s">
        <v>44</v>
      </c>
      <c r="H227" s="10" t="s">
        <v>51</v>
      </c>
      <c r="I227" s="13">
        <v>0.35833333333333334</v>
      </c>
      <c r="J227" s="13">
        <v>0.7333333333333333</v>
      </c>
      <c r="K227" s="10">
        <v>30.0</v>
      </c>
      <c r="L227" s="13">
        <v>0.3958333333333333</v>
      </c>
      <c r="M227" s="13">
        <v>0.6458333333333334</v>
      </c>
      <c r="N227" s="10">
        <v>50.0</v>
      </c>
      <c r="O227" s="10">
        <v>1.0</v>
      </c>
      <c r="P227" s="10">
        <v>118.0</v>
      </c>
      <c r="Q227" s="14">
        <f t="shared" si="1"/>
        <v>46059</v>
      </c>
      <c r="R227" s="15">
        <f t="shared" si="2"/>
        <v>8.5</v>
      </c>
      <c r="S227" s="16">
        <f>IFERROR(__xludf.DUMMYFUNCTION("IFERROR( INDEX( FILTER( Reference!$F:$F, Reference!$A:$A = $E227, Reference!$E:$E = $D227, Reference!$C:$C = $Q227),1),""RATE_NOT_FOUND"")"),25.0)</f>
        <v>25</v>
      </c>
      <c r="T227" s="15">
        <f t="shared" si="3"/>
        <v>212.5</v>
      </c>
      <c r="U227" s="15">
        <f t="shared" si="4"/>
        <v>5.166666667</v>
      </c>
      <c r="V227" s="17">
        <f t="shared" si="5"/>
        <v>22.83870968</v>
      </c>
      <c r="W227" s="18" t="str">
        <f t="shared" si="6"/>
        <v>Saturday</v>
      </c>
      <c r="X227" s="18">
        <f t="shared" si="7"/>
        <v>50</v>
      </c>
      <c r="Y227" s="14">
        <f>IFERROR(__xludf.DUMMYFUNCTION("IFERROR( INDEX( FILTER(Reference!$D:$D, Reference!$A:$A=$E227, Reference!$C:$C=$Q227), 1),"""")"),46066.0)</f>
        <v>46066</v>
      </c>
      <c r="Z227" s="18">
        <f t="shared" si="8"/>
        <v>5.166666667</v>
      </c>
      <c r="AA227" s="18">
        <f>IF(Z227=0,0, IF(Z227&gt;=LOOKUP(Q227,MinHr_Weekly_Bonus!A:A,MinHr_Weekly_Bonus!B:B), LOOKUP(Q227,MinHr_Weekly_Bonus!A:A,MinHr_Weekly_Bonus!C:C), 0))</f>
        <v>0</v>
      </c>
      <c r="AB227" s="15">
        <f t="shared" si="9"/>
        <v>262.5</v>
      </c>
      <c r="AC227" s="18" t="str">
        <f t="shared" si="10"/>
        <v/>
      </c>
    </row>
    <row r="228">
      <c r="A228" s="10" t="s">
        <v>36</v>
      </c>
      <c r="B228" s="12">
        <v>46053.0</v>
      </c>
      <c r="C228" s="10" t="s">
        <v>49</v>
      </c>
      <c r="D228" s="10" t="s">
        <v>8</v>
      </c>
      <c r="E228" s="10" t="s">
        <v>6</v>
      </c>
      <c r="F228" s="10" t="s">
        <v>7</v>
      </c>
      <c r="G228" s="10" t="s">
        <v>44</v>
      </c>
      <c r="H228" s="10" t="s">
        <v>51</v>
      </c>
      <c r="I228" s="13">
        <v>0.36666666666666664</v>
      </c>
      <c r="J228" s="13">
        <v>0.675</v>
      </c>
      <c r="K228" s="10">
        <v>30.0</v>
      </c>
      <c r="L228" s="13">
        <v>0.3888888888888889</v>
      </c>
      <c r="M228" s="13">
        <v>0.64375</v>
      </c>
      <c r="N228" s="10">
        <v>50.0</v>
      </c>
      <c r="O228" s="10">
        <v>1.0</v>
      </c>
      <c r="P228" s="10">
        <v>79.0</v>
      </c>
      <c r="Q228" s="14">
        <f t="shared" si="1"/>
        <v>46059</v>
      </c>
      <c r="R228" s="15">
        <f t="shared" si="2"/>
        <v>6.9</v>
      </c>
      <c r="S228" s="16">
        <f>IFERROR(__xludf.DUMMYFUNCTION("IFERROR( INDEX( FILTER( Reference!$F:$F, Reference!$A:$A = $E228, Reference!$E:$E = $D228, Reference!$C:$C = $Q228),1),""RATE_NOT_FOUND"")"),25.0)</f>
        <v>25</v>
      </c>
      <c r="T228" s="15">
        <f t="shared" si="3"/>
        <v>172.5</v>
      </c>
      <c r="U228" s="15">
        <f t="shared" si="4"/>
        <v>5.283333333</v>
      </c>
      <c r="V228" s="17">
        <f t="shared" si="5"/>
        <v>14.95268139</v>
      </c>
      <c r="W228" s="18" t="str">
        <f t="shared" si="6"/>
        <v>Saturday</v>
      </c>
      <c r="X228" s="18">
        <f t="shared" si="7"/>
        <v>0</v>
      </c>
      <c r="Y228" s="14">
        <f>IFERROR(__xludf.DUMMYFUNCTION("IFERROR( INDEX( FILTER(Reference!$D:$D, Reference!$A:$A=$E228, Reference!$C:$C=$Q228), 1),"""")"),46066.0)</f>
        <v>46066</v>
      </c>
      <c r="Z228" s="18">
        <f t="shared" si="8"/>
        <v>5.283333333</v>
      </c>
      <c r="AA228" s="18">
        <f>IF(Z228=0,0, IF(Z228&gt;=LOOKUP(Q228,MinHr_Weekly_Bonus!A:A,MinHr_Weekly_Bonus!B:B), LOOKUP(Q228,MinHr_Weekly_Bonus!A:A,MinHr_Weekly_Bonus!C:C), 0))</f>
        <v>0</v>
      </c>
      <c r="AB228" s="15">
        <f t="shared" si="9"/>
        <v>172.5</v>
      </c>
      <c r="AC228" s="18" t="str">
        <f t="shared" si="10"/>
        <v/>
      </c>
    </row>
    <row r="229">
      <c r="A229" s="10" t="s">
        <v>36</v>
      </c>
      <c r="B229" s="12">
        <v>46053.0</v>
      </c>
      <c r="C229" s="10" t="s">
        <v>48</v>
      </c>
      <c r="D229" s="10" t="s">
        <v>8</v>
      </c>
      <c r="E229" s="10" t="s">
        <v>6</v>
      </c>
      <c r="F229" s="10" t="s">
        <v>7</v>
      </c>
      <c r="G229" s="10" t="s">
        <v>44</v>
      </c>
      <c r="H229" s="10" t="s">
        <v>51</v>
      </c>
      <c r="I229" s="13">
        <v>0.36666666666666664</v>
      </c>
      <c r="J229" s="13">
        <v>0.6631944444444444</v>
      </c>
      <c r="K229" s="10">
        <v>30.0</v>
      </c>
      <c r="L229" s="13">
        <v>0.3888888888888889</v>
      </c>
      <c r="M229" s="13">
        <v>0.64375</v>
      </c>
      <c r="N229" s="10">
        <v>50.0</v>
      </c>
      <c r="O229" s="10">
        <v>1.0</v>
      </c>
      <c r="P229" s="10">
        <v>61.0</v>
      </c>
      <c r="Q229" s="14">
        <f t="shared" si="1"/>
        <v>46059</v>
      </c>
      <c r="R229" s="15">
        <f t="shared" si="2"/>
        <v>6.616666667</v>
      </c>
      <c r="S229" s="16">
        <f>IFERROR(__xludf.DUMMYFUNCTION("IFERROR( INDEX( FILTER( Reference!$F:$F, Reference!$A:$A = $E229, Reference!$E:$E = $D229, Reference!$C:$C = $Q229),1),""RATE_NOT_FOUND"")"),25.0)</f>
        <v>25</v>
      </c>
      <c r="T229" s="15">
        <f t="shared" si="3"/>
        <v>165.4166667</v>
      </c>
      <c r="U229" s="15">
        <f t="shared" si="4"/>
        <v>5.283333333</v>
      </c>
      <c r="V229" s="17">
        <f t="shared" si="5"/>
        <v>11.54574132</v>
      </c>
      <c r="W229" s="18" t="str">
        <f t="shared" si="6"/>
        <v>Saturday</v>
      </c>
      <c r="X229" s="18">
        <f t="shared" si="7"/>
        <v>0</v>
      </c>
      <c r="Y229" s="14">
        <f>IFERROR(__xludf.DUMMYFUNCTION("IFERROR( INDEX( FILTER(Reference!$D:$D, Reference!$A:$A=$E229, Reference!$C:$C=$Q229), 1),"""")"),46066.0)</f>
        <v>46066</v>
      </c>
      <c r="Z229" s="18">
        <f t="shared" si="8"/>
        <v>5.283333333</v>
      </c>
      <c r="AA229" s="18">
        <f>IF(Z229=0,0, IF(Z229&gt;=LOOKUP(Q229,MinHr_Weekly_Bonus!A:A,MinHr_Weekly_Bonus!B:B), LOOKUP(Q229,MinHr_Weekly_Bonus!A:A,MinHr_Weekly_Bonus!C:C), 0))</f>
        <v>0</v>
      </c>
      <c r="AB229" s="15">
        <f t="shared" si="9"/>
        <v>165.4166667</v>
      </c>
      <c r="AC229" s="18" t="str">
        <f t="shared" si="10"/>
        <v/>
      </c>
    </row>
    <row r="230">
      <c r="A230" s="10" t="s">
        <v>36</v>
      </c>
      <c r="B230" s="12">
        <v>46053.0</v>
      </c>
      <c r="C230" s="10" t="s">
        <v>75</v>
      </c>
      <c r="D230" s="10" t="s">
        <v>8</v>
      </c>
      <c r="E230" s="10" t="s">
        <v>6</v>
      </c>
      <c r="F230" s="10" t="s">
        <v>7</v>
      </c>
      <c r="G230" s="10" t="s">
        <v>44</v>
      </c>
      <c r="H230" s="10" t="s">
        <v>51</v>
      </c>
      <c r="I230" s="13">
        <v>0.3541666666666667</v>
      </c>
      <c r="J230" s="13">
        <v>0.6875</v>
      </c>
      <c r="K230" s="10">
        <v>30.0</v>
      </c>
      <c r="L230" s="13">
        <v>0.3854166666666667</v>
      </c>
      <c r="M230" s="13">
        <v>0.6770833333333334</v>
      </c>
      <c r="N230" s="10">
        <v>50.0</v>
      </c>
      <c r="O230" s="10">
        <v>1.0</v>
      </c>
      <c r="P230" s="10">
        <v>61.0</v>
      </c>
      <c r="Q230" s="14">
        <f t="shared" si="1"/>
        <v>46059</v>
      </c>
      <c r="R230" s="15">
        <f t="shared" si="2"/>
        <v>7.5</v>
      </c>
      <c r="S230" s="16">
        <f>IFERROR(__xludf.DUMMYFUNCTION("IFERROR( INDEX( FILTER( Reference!$F:$F, Reference!$A:$A = $E230, Reference!$E:$E = $D230, Reference!$C:$C = $Q230),1),""RATE_NOT_FOUND"")"),25.0)</f>
        <v>25</v>
      </c>
      <c r="T230" s="15">
        <f t="shared" si="3"/>
        <v>187.5</v>
      </c>
      <c r="U230" s="15">
        <f t="shared" si="4"/>
        <v>6.166666667</v>
      </c>
      <c r="V230" s="17">
        <f t="shared" si="5"/>
        <v>9.891891892</v>
      </c>
      <c r="W230" s="18" t="str">
        <f t="shared" si="6"/>
        <v>Saturday</v>
      </c>
      <c r="X230" s="18">
        <f t="shared" si="7"/>
        <v>0</v>
      </c>
      <c r="Y230" s="14">
        <f>IFERROR(__xludf.DUMMYFUNCTION("IFERROR( INDEX( FILTER(Reference!$D:$D, Reference!$A:$A=$E230, Reference!$C:$C=$Q230), 1),"""")"),46066.0)</f>
        <v>46066</v>
      </c>
      <c r="Z230" s="18">
        <f t="shared" si="8"/>
        <v>6.166666667</v>
      </c>
      <c r="AA230" s="18">
        <f>IF(Z230=0,0, IF(Z230&gt;=LOOKUP(Q230,MinHr_Weekly_Bonus!A:A,MinHr_Weekly_Bonus!B:B), LOOKUP(Q230,MinHr_Weekly_Bonus!A:A,MinHr_Weekly_Bonus!C:C), 0))</f>
        <v>0</v>
      </c>
      <c r="AB230" s="15">
        <f t="shared" si="9"/>
        <v>187.5</v>
      </c>
      <c r="AC230" s="18" t="str">
        <f t="shared" si="10"/>
        <v/>
      </c>
    </row>
    <row r="231">
      <c r="A231" s="10" t="s">
        <v>36</v>
      </c>
      <c r="B231" s="12">
        <v>46053.0</v>
      </c>
      <c r="C231" s="10" t="s">
        <v>51</v>
      </c>
      <c r="D231" s="10" t="s">
        <v>9</v>
      </c>
      <c r="E231" s="10" t="s">
        <v>6</v>
      </c>
      <c r="F231" s="10" t="s">
        <v>7</v>
      </c>
      <c r="G231" s="10" t="s">
        <v>44</v>
      </c>
      <c r="H231" s="10" t="s">
        <v>51</v>
      </c>
      <c r="I231" s="13">
        <v>0.4305555555555556</v>
      </c>
      <c r="J231" s="13">
        <v>0.7715277777777778</v>
      </c>
      <c r="K231" s="10">
        <v>30.0</v>
      </c>
      <c r="L231" s="13">
        <v>0.4847222222222222</v>
      </c>
      <c r="M231" s="13">
        <v>0.7291666666666666</v>
      </c>
      <c r="N231" s="10">
        <v>50.0</v>
      </c>
      <c r="O231" s="10">
        <v>1.0</v>
      </c>
      <c r="P231" s="10">
        <v>60.0</v>
      </c>
      <c r="Q231" s="14">
        <f t="shared" si="1"/>
        <v>46059</v>
      </c>
      <c r="R231" s="15">
        <f t="shared" si="2"/>
        <v>7.683333333</v>
      </c>
      <c r="S231" s="16">
        <f>IFERROR(__xludf.DUMMYFUNCTION("IFERROR( INDEX( FILTER( Reference!$F:$F, Reference!$A:$A = $E231, Reference!$E:$E = $D231, Reference!$C:$C = $Q231),1),""RATE_NOT_FOUND"")"),27.0)</f>
        <v>27</v>
      </c>
      <c r="T231" s="15">
        <f t="shared" si="3"/>
        <v>207.45</v>
      </c>
      <c r="U231" s="15">
        <f t="shared" si="4"/>
        <v>5.033333333</v>
      </c>
      <c r="V231" s="17">
        <f t="shared" si="5"/>
        <v>11.9205298</v>
      </c>
      <c r="W231" s="18" t="str">
        <f t="shared" si="6"/>
        <v>Saturday</v>
      </c>
      <c r="X231" s="18">
        <f t="shared" si="7"/>
        <v>0</v>
      </c>
      <c r="Y231" s="14">
        <f>IFERROR(__xludf.DUMMYFUNCTION("IFERROR( INDEX( FILTER(Reference!$D:$D, Reference!$A:$A=$E231, Reference!$C:$C=$Q231), 1),"""")"),46066.0)</f>
        <v>46066</v>
      </c>
      <c r="Z231" s="18">
        <f t="shared" si="8"/>
        <v>5.033333333</v>
      </c>
      <c r="AA231" s="18">
        <f>IF(Z231=0,0, IF(Z231&gt;=LOOKUP(Q231,MinHr_Weekly_Bonus!A:A,MinHr_Weekly_Bonus!B:B), LOOKUP(Q231,MinHr_Weekly_Bonus!A:A,MinHr_Weekly_Bonus!C:C), 0))</f>
        <v>0</v>
      </c>
      <c r="AB231" s="15">
        <f t="shared" si="9"/>
        <v>207.45</v>
      </c>
      <c r="AC231" s="18" t="str">
        <f t="shared" si="10"/>
        <v/>
      </c>
    </row>
    <row r="232">
      <c r="A232" s="10" t="s">
        <v>36</v>
      </c>
      <c r="B232" s="12">
        <v>46053.0</v>
      </c>
      <c r="C232" s="10" t="s">
        <v>85</v>
      </c>
      <c r="D232" s="10" t="s">
        <v>8</v>
      </c>
      <c r="E232" s="10" t="s">
        <v>6</v>
      </c>
      <c r="F232" s="10" t="s">
        <v>7</v>
      </c>
      <c r="G232" s="10" t="s">
        <v>44</v>
      </c>
      <c r="H232" s="10" t="s">
        <v>42</v>
      </c>
      <c r="I232" s="13">
        <v>0.3958333333333333</v>
      </c>
      <c r="J232" s="13">
        <v>0.8229166666666666</v>
      </c>
      <c r="K232" s="10">
        <v>30.0</v>
      </c>
      <c r="L232" s="13">
        <v>0.4847222222222222</v>
      </c>
      <c r="M232" s="13">
        <v>0.7291666666666666</v>
      </c>
      <c r="N232" s="10">
        <v>50.0</v>
      </c>
      <c r="O232" s="10">
        <v>1.0</v>
      </c>
      <c r="P232" s="10">
        <v>74.0</v>
      </c>
      <c r="Q232" s="14">
        <f t="shared" si="1"/>
        <v>46059</v>
      </c>
      <c r="R232" s="15">
        <f t="shared" si="2"/>
        <v>9.75</v>
      </c>
      <c r="S232" s="16">
        <f>IFERROR(__xludf.DUMMYFUNCTION("IFERROR( INDEX( FILTER( Reference!$F:$F, Reference!$A:$A = $E232, Reference!$E:$E = $D232, Reference!$C:$C = $Q232),1),""RATE_NOT_FOUND"")"),25.0)</f>
        <v>25</v>
      </c>
      <c r="T232" s="15">
        <f t="shared" si="3"/>
        <v>243.75</v>
      </c>
      <c r="U232" s="15">
        <f t="shared" si="4"/>
        <v>5.033333333</v>
      </c>
      <c r="V232" s="17">
        <f t="shared" si="5"/>
        <v>14.70198675</v>
      </c>
      <c r="W232" s="18" t="str">
        <f t="shared" si="6"/>
        <v>Saturday</v>
      </c>
      <c r="X232" s="18">
        <f t="shared" si="7"/>
        <v>0</v>
      </c>
      <c r="Y232" s="14">
        <f>IFERROR(__xludf.DUMMYFUNCTION("IFERROR( INDEX( FILTER(Reference!$D:$D, Reference!$A:$A=$E232, Reference!$C:$C=$Q232), 1),"""")"),46066.0)</f>
        <v>46066</v>
      </c>
      <c r="Z232" s="18">
        <f t="shared" si="8"/>
        <v>5.033333333</v>
      </c>
      <c r="AA232" s="18">
        <f>IF(Z232=0,0, IF(Z232&gt;=LOOKUP(Q232,MinHr_Weekly_Bonus!A:A,MinHr_Weekly_Bonus!B:B), LOOKUP(Q232,MinHr_Weekly_Bonus!A:A,MinHr_Weekly_Bonus!C:C), 0))</f>
        <v>0</v>
      </c>
      <c r="AB232" s="15">
        <f t="shared" si="9"/>
        <v>243.75</v>
      </c>
      <c r="AC232" s="18" t="str">
        <f t="shared" si="10"/>
        <v/>
      </c>
    </row>
    <row r="233">
      <c r="A233" s="10" t="s">
        <v>36</v>
      </c>
      <c r="B233" s="12">
        <v>46053.0</v>
      </c>
      <c r="C233" s="10" t="s">
        <v>42</v>
      </c>
      <c r="D233" s="10" t="s">
        <v>9</v>
      </c>
      <c r="E233" s="10" t="s">
        <v>6</v>
      </c>
      <c r="F233" s="10" t="s">
        <v>7</v>
      </c>
      <c r="G233" s="10" t="s">
        <v>44</v>
      </c>
      <c r="H233" s="10" t="s">
        <v>42</v>
      </c>
      <c r="I233" s="13">
        <v>0.4236111111111111</v>
      </c>
      <c r="J233" s="13">
        <v>0.8048611111111111</v>
      </c>
      <c r="K233" s="10">
        <v>30.0</v>
      </c>
      <c r="L233" s="13">
        <v>0.4791666666666667</v>
      </c>
      <c r="M233" s="13">
        <v>0.7291666666666666</v>
      </c>
      <c r="N233" s="10">
        <v>50.0</v>
      </c>
      <c r="O233" s="10">
        <v>1.0</v>
      </c>
      <c r="P233" s="10">
        <v>96.0</v>
      </c>
      <c r="Q233" s="14">
        <f t="shared" si="1"/>
        <v>46059</v>
      </c>
      <c r="R233" s="15">
        <f t="shared" si="2"/>
        <v>8.65</v>
      </c>
      <c r="S233" s="16">
        <f>IFERROR(__xludf.DUMMYFUNCTION("IFERROR( INDEX( FILTER( Reference!$F:$F, Reference!$A:$A = $E233, Reference!$E:$E = $D233, Reference!$C:$C = $Q233),1),""RATE_NOT_FOUND"")"),27.0)</f>
        <v>27</v>
      </c>
      <c r="T233" s="15">
        <f t="shared" si="3"/>
        <v>233.55</v>
      </c>
      <c r="U233" s="15">
        <f t="shared" si="4"/>
        <v>5.166666667</v>
      </c>
      <c r="V233" s="17">
        <f t="shared" si="5"/>
        <v>18.58064516</v>
      </c>
      <c r="W233" s="18" t="str">
        <f t="shared" si="6"/>
        <v>Saturday</v>
      </c>
      <c r="X233" s="18">
        <f t="shared" si="7"/>
        <v>50</v>
      </c>
      <c r="Y233" s="14">
        <f>IFERROR(__xludf.DUMMYFUNCTION("IFERROR( INDEX( FILTER(Reference!$D:$D, Reference!$A:$A=$E233, Reference!$C:$C=$Q233), 1),"""")"),46066.0)</f>
        <v>46066</v>
      </c>
      <c r="Z233" s="18">
        <f t="shared" si="8"/>
        <v>5.166666667</v>
      </c>
      <c r="AA233" s="18">
        <f>IF(Z233=0,0, IF(Z233&gt;=LOOKUP(Q233,MinHr_Weekly_Bonus!A:A,MinHr_Weekly_Bonus!B:B), LOOKUP(Q233,MinHr_Weekly_Bonus!A:A,MinHr_Weekly_Bonus!C:C), 0))</f>
        <v>0</v>
      </c>
      <c r="AB233" s="15">
        <f t="shared" si="9"/>
        <v>283.55</v>
      </c>
      <c r="AC233" s="18" t="str">
        <f t="shared" si="10"/>
        <v/>
      </c>
    </row>
    <row r="234">
      <c r="A234" s="10" t="s">
        <v>36</v>
      </c>
      <c r="B234" s="12">
        <v>46053.0</v>
      </c>
      <c r="C234" s="10" t="s">
        <v>86</v>
      </c>
      <c r="D234" s="10" t="s">
        <v>8</v>
      </c>
      <c r="E234" s="10" t="s">
        <v>6</v>
      </c>
      <c r="F234" s="10" t="s">
        <v>7</v>
      </c>
      <c r="G234" s="10" t="s">
        <v>44</v>
      </c>
      <c r="H234" s="10" t="s">
        <v>41</v>
      </c>
      <c r="I234" s="13">
        <v>0.3958333333333333</v>
      </c>
      <c r="J234" s="13">
        <v>0.7708333333333334</v>
      </c>
      <c r="K234" s="10">
        <v>30.0</v>
      </c>
      <c r="L234" s="13">
        <v>0.4791666666666667</v>
      </c>
      <c r="M234" s="13">
        <v>0.7291666666666666</v>
      </c>
      <c r="N234" s="10">
        <v>50.0</v>
      </c>
      <c r="O234" s="10">
        <v>1.0</v>
      </c>
      <c r="P234" s="10">
        <v>57.0</v>
      </c>
      <c r="Q234" s="14">
        <f t="shared" si="1"/>
        <v>46059</v>
      </c>
      <c r="R234" s="15">
        <f t="shared" si="2"/>
        <v>8.5</v>
      </c>
      <c r="S234" s="16">
        <f>IFERROR(__xludf.DUMMYFUNCTION("IFERROR( INDEX( FILTER( Reference!$F:$F, Reference!$A:$A = $E234, Reference!$E:$E = $D234, Reference!$C:$C = $Q234),1),""RATE_NOT_FOUND"")"),25.0)</f>
        <v>25</v>
      </c>
      <c r="T234" s="15">
        <f t="shared" si="3"/>
        <v>212.5</v>
      </c>
      <c r="U234" s="15">
        <f t="shared" si="4"/>
        <v>5.166666667</v>
      </c>
      <c r="V234" s="17">
        <f t="shared" si="5"/>
        <v>11.03225806</v>
      </c>
      <c r="W234" s="18" t="str">
        <f t="shared" si="6"/>
        <v>Saturday</v>
      </c>
      <c r="X234" s="18">
        <f t="shared" si="7"/>
        <v>0</v>
      </c>
      <c r="Y234" s="14">
        <f>IFERROR(__xludf.DUMMYFUNCTION("IFERROR( INDEX( FILTER(Reference!$D:$D, Reference!$A:$A=$E234, Reference!$C:$C=$Q234), 1),"""")"),46066.0)</f>
        <v>46066</v>
      </c>
      <c r="Z234" s="18">
        <f t="shared" si="8"/>
        <v>5.166666667</v>
      </c>
      <c r="AA234" s="18">
        <f>IF(Z234=0,0, IF(Z234&gt;=LOOKUP(Q234,MinHr_Weekly_Bonus!A:A,MinHr_Weekly_Bonus!B:B), LOOKUP(Q234,MinHr_Weekly_Bonus!A:A,MinHr_Weekly_Bonus!C:C), 0))</f>
        <v>0</v>
      </c>
      <c r="AB234" s="15">
        <f t="shared" si="9"/>
        <v>212.5</v>
      </c>
      <c r="AC234" s="18" t="str">
        <f t="shared" si="10"/>
        <v/>
      </c>
    </row>
    <row r="235">
      <c r="A235" s="10" t="s">
        <v>36</v>
      </c>
      <c r="B235" s="12">
        <v>46053.0</v>
      </c>
      <c r="C235" s="10" t="s">
        <v>41</v>
      </c>
      <c r="D235" s="10" t="s">
        <v>9</v>
      </c>
      <c r="E235" s="10" t="s">
        <v>6</v>
      </c>
      <c r="F235" s="10" t="s">
        <v>7</v>
      </c>
      <c r="G235" s="10" t="s">
        <v>44</v>
      </c>
      <c r="H235" s="10" t="s">
        <v>41</v>
      </c>
      <c r="I235" s="13">
        <v>0.4263888888888889</v>
      </c>
      <c r="J235" s="13">
        <v>0.78125</v>
      </c>
      <c r="K235" s="10">
        <v>30.0</v>
      </c>
      <c r="L235" s="13">
        <v>0.4791666666666667</v>
      </c>
      <c r="M235" s="13">
        <v>0.7291666666666666</v>
      </c>
      <c r="N235" s="10">
        <v>50.0</v>
      </c>
      <c r="O235" s="10">
        <v>1.0</v>
      </c>
      <c r="P235" s="10">
        <v>59.0</v>
      </c>
      <c r="Q235" s="14">
        <f t="shared" si="1"/>
        <v>46059</v>
      </c>
      <c r="R235" s="15">
        <f t="shared" si="2"/>
        <v>8.016666667</v>
      </c>
      <c r="S235" s="16">
        <f>IFERROR(__xludf.DUMMYFUNCTION("IFERROR( INDEX( FILTER( Reference!$F:$F, Reference!$A:$A = $E235, Reference!$E:$E = $D235, Reference!$C:$C = $Q235),1),""RATE_NOT_FOUND"")"),27.0)</f>
        <v>27</v>
      </c>
      <c r="T235" s="15">
        <f t="shared" si="3"/>
        <v>216.45</v>
      </c>
      <c r="U235" s="15">
        <f t="shared" si="4"/>
        <v>5.166666667</v>
      </c>
      <c r="V235" s="17">
        <f t="shared" si="5"/>
        <v>11.41935484</v>
      </c>
      <c r="W235" s="18" t="str">
        <f t="shared" si="6"/>
        <v>Saturday</v>
      </c>
      <c r="X235" s="18">
        <f t="shared" si="7"/>
        <v>0</v>
      </c>
      <c r="Y235" s="14">
        <f>IFERROR(__xludf.DUMMYFUNCTION("IFERROR( INDEX( FILTER(Reference!$D:$D, Reference!$A:$A=$E235, Reference!$C:$C=$Q235), 1),"""")"),46066.0)</f>
        <v>46066</v>
      </c>
      <c r="Z235" s="18">
        <f t="shared" si="8"/>
        <v>5.166666667</v>
      </c>
      <c r="AA235" s="18">
        <f>IF(Z235=0,0, IF(Z235&gt;=LOOKUP(Q235,MinHr_Weekly_Bonus!A:A,MinHr_Weekly_Bonus!B:B), LOOKUP(Q235,MinHr_Weekly_Bonus!A:A,MinHr_Weekly_Bonus!C:C), 0))</f>
        <v>0</v>
      </c>
      <c r="AB235" s="15">
        <f t="shared" si="9"/>
        <v>216.45</v>
      </c>
      <c r="AC235" s="18" t="str">
        <f t="shared" si="10"/>
        <v/>
      </c>
    </row>
    <row r="236">
      <c r="A236" s="10" t="s">
        <v>36</v>
      </c>
      <c r="B236" s="12">
        <v>46053.0</v>
      </c>
      <c r="C236" s="10" t="s">
        <v>87</v>
      </c>
      <c r="D236" s="10" t="s">
        <v>8</v>
      </c>
      <c r="E236" s="10" t="s">
        <v>11</v>
      </c>
      <c r="F236" s="10" t="s">
        <v>7</v>
      </c>
      <c r="G236" s="10" t="s">
        <v>44</v>
      </c>
      <c r="H236" s="10" t="s">
        <v>54</v>
      </c>
      <c r="I236" s="13">
        <v>0.3958333333333333</v>
      </c>
      <c r="J236" s="13">
        <v>0.7743055555555556</v>
      </c>
      <c r="K236" s="10">
        <v>30.0</v>
      </c>
      <c r="L236" s="13">
        <v>0.4895833333333333</v>
      </c>
      <c r="M236" s="13">
        <v>0.7291666666666666</v>
      </c>
      <c r="N236" s="10">
        <v>75.0</v>
      </c>
      <c r="O236" s="10">
        <v>1.0</v>
      </c>
      <c r="P236" s="10">
        <v>79.0</v>
      </c>
      <c r="Q236" s="14">
        <f t="shared" si="1"/>
        <v>46059</v>
      </c>
      <c r="R236" s="15">
        <f t="shared" si="2"/>
        <v>8.583333333</v>
      </c>
      <c r="S236" s="16">
        <f>IFERROR(__xludf.DUMMYFUNCTION("IFERROR( INDEX( FILTER( Reference!$F:$F, Reference!$A:$A = $E236, Reference!$E:$E = $D236, Reference!$C:$C = $Q236),1),""RATE_NOT_FOUND"")"),24.0)</f>
        <v>24</v>
      </c>
      <c r="T236" s="15">
        <f t="shared" si="3"/>
        <v>206</v>
      </c>
      <c r="U236" s="15">
        <f t="shared" si="4"/>
        <v>4.5</v>
      </c>
      <c r="V236" s="17">
        <f t="shared" si="5"/>
        <v>17.55555556</v>
      </c>
      <c r="W236" s="18" t="str">
        <f t="shared" si="6"/>
        <v>Saturday</v>
      </c>
      <c r="X236" s="18">
        <f t="shared" si="7"/>
        <v>0</v>
      </c>
      <c r="Y236" s="14">
        <f>IFERROR(__xludf.DUMMYFUNCTION("IFERROR( INDEX( FILTER(Reference!$D:$D, Reference!$A:$A=$E236, Reference!$C:$C=$Q236), 1),"""")"),46066.0)</f>
        <v>46066</v>
      </c>
      <c r="Z236" s="18">
        <f t="shared" si="8"/>
        <v>4.5</v>
      </c>
      <c r="AA236" s="18">
        <f>IF(Z236=0,0, IF(Z236&gt;=LOOKUP(Q236,MinHr_Weekly_Bonus!A:A,MinHr_Weekly_Bonus!B:B), LOOKUP(Q236,MinHr_Weekly_Bonus!A:A,MinHr_Weekly_Bonus!C:C), 0))</f>
        <v>0</v>
      </c>
      <c r="AB236" s="15">
        <f t="shared" si="9"/>
        <v>206</v>
      </c>
      <c r="AC236" s="18" t="str">
        <f t="shared" si="10"/>
        <v/>
      </c>
    </row>
    <row r="237">
      <c r="A237" s="10" t="s">
        <v>36</v>
      </c>
      <c r="B237" s="12">
        <v>46053.0</v>
      </c>
      <c r="C237" s="10" t="s">
        <v>88</v>
      </c>
      <c r="D237" s="10" t="s">
        <v>8</v>
      </c>
      <c r="E237" s="10" t="s">
        <v>11</v>
      </c>
      <c r="F237" s="10" t="s">
        <v>7</v>
      </c>
      <c r="G237" s="10" t="s">
        <v>44</v>
      </c>
      <c r="H237" s="10" t="s">
        <v>54</v>
      </c>
      <c r="I237" s="13">
        <v>0.3958333333333333</v>
      </c>
      <c r="J237" s="13">
        <v>0.7638888888888888</v>
      </c>
      <c r="K237" s="10">
        <v>30.0</v>
      </c>
      <c r="L237" s="13">
        <v>0.4895833333333333</v>
      </c>
      <c r="M237" s="13">
        <v>0.7291666666666666</v>
      </c>
      <c r="N237" s="10">
        <v>75.0</v>
      </c>
      <c r="O237" s="10">
        <v>1.0</v>
      </c>
      <c r="P237" s="10">
        <v>108.0</v>
      </c>
      <c r="Q237" s="14">
        <f t="shared" si="1"/>
        <v>46059</v>
      </c>
      <c r="R237" s="15">
        <f t="shared" si="2"/>
        <v>8.333333333</v>
      </c>
      <c r="S237" s="16">
        <f>IFERROR(__xludf.DUMMYFUNCTION("IFERROR( INDEX( FILTER( Reference!$F:$F, Reference!$A:$A = $E237, Reference!$E:$E = $D237, Reference!$C:$C = $Q237),1),""RATE_NOT_FOUND"")"),24.0)</f>
        <v>24</v>
      </c>
      <c r="T237" s="15">
        <f t="shared" si="3"/>
        <v>200</v>
      </c>
      <c r="U237" s="15">
        <f t="shared" si="4"/>
        <v>4.5</v>
      </c>
      <c r="V237" s="17">
        <f t="shared" si="5"/>
        <v>24</v>
      </c>
      <c r="W237" s="18" t="str">
        <f t="shared" si="6"/>
        <v>Saturday</v>
      </c>
      <c r="X237" s="18">
        <f t="shared" si="7"/>
        <v>50</v>
      </c>
      <c r="Y237" s="14">
        <f>IFERROR(__xludf.DUMMYFUNCTION("IFERROR( INDEX( FILTER(Reference!$D:$D, Reference!$A:$A=$E237, Reference!$C:$C=$Q237), 1),"""")"),46066.0)</f>
        <v>46066</v>
      </c>
      <c r="Z237" s="18">
        <f t="shared" si="8"/>
        <v>4.5</v>
      </c>
      <c r="AA237" s="18">
        <f>IF(Z237=0,0, IF(Z237&gt;=LOOKUP(Q237,MinHr_Weekly_Bonus!A:A,MinHr_Weekly_Bonus!B:B), LOOKUP(Q237,MinHr_Weekly_Bonus!A:A,MinHr_Weekly_Bonus!C:C), 0))</f>
        <v>0</v>
      </c>
      <c r="AB237" s="15">
        <f t="shared" si="9"/>
        <v>250</v>
      </c>
      <c r="AC237" s="18" t="str">
        <f t="shared" si="10"/>
        <v/>
      </c>
    </row>
    <row r="238">
      <c r="A238" s="10" t="s">
        <v>36</v>
      </c>
      <c r="B238" s="12">
        <v>46053.0</v>
      </c>
      <c r="C238" s="10" t="s">
        <v>54</v>
      </c>
      <c r="D238" s="10" t="s">
        <v>9</v>
      </c>
      <c r="E238" s="10" t="s">
        <v>11</v>
      </c>
      <c r="F238" s="10" t="s">
        <v>7</v>
      </c>
      <c r="G238" s="10" t="s">
        <v>44</v>
      </c>
      <c r="H238" s="10" t="s">
        <v>54</v>
      </c>
      <c r="I238" s="13">
        <v>0.4263888888888889</v>
      </c>
      <c r="J238" s="13">
        <v>0.8868055555555555</v>
      </c>
      <c r="K238" s="10">
        <v>30.0</v>
      </c>
      <c r="L238" s="13">
        <v>0.4861111111111111</v>
      </c>
      <c r="M238" s="13">
        <v>0.7416666666666667</v>
      </c>
      <c r="N238" s="10">
        <v>80.0</v>
      </c>
      <c r="O238" s="10">
        <v>1.0</v>
      </c>
      <c r="P238" s="10">
        <v>108.0</v>
      </c>
      <c r="Q238" s="14">
        <f t="shared" si="1"/>
        <v>46059</v>
      </c>
      <c r="R238" s="15">
        <f t="shared" si="2"/>
        <v>10.55</v>
      </c>
      <c r="S238" s="16">
        <f>IFERROR(__xludf.DUMMYFUNCTION("IFERROR( INDEX( FILTER( Reference!$F:$F, Reference!$A:$A = $E238, Reference!$E:$E = $D238, Reference!$C:$C = $Q238),1),""RATE_NOT_FOUND"")"),26.0)</f>
        <v>26</v>
      </c>
      <c r="T238" s="15">
        <f t="shared" si="3"/>
        <v>274.3</v>
      </c>
      <c r="U238" s="15">
        <f t="shared" si="4"/>
        <v>4.8</v>
      </c>
      <c r="V238" s="17">
        <f t="shared" si="5"/>
        <v>22.5</v>
      </c>
      <c r="W238" s="18" t="str">
        <f t="shared" si="6"/>
        <v>Saturday</v>
      </c>
      <c r="X238" s="18">
        <f t="shared" si="7"/>
        <v>50</v>
      </c>
      <c r="Y238" s="14">
        <f>IFERROR(__xludf.DUMMYFUNCTION("IFERROR( INDEX( FILTER(Reference!$D:$D, Reference!$A:$A=$E238, Reference!$C:$C=$Q238), 1),"""")"),46066.0)</f>
        <v>46066</v>
      </c>
      <c r="Z238" s="18">
        <f t="shared" si="8"/>
        <v>4.8</v>
      </c>
      <c r="AA238" s="18">
        <f>IF(Z238=0,0, IF(Z238&gt;=LOOKUP(Q238,MinHr_Weekly_Bonus!A:A,MinHr_Weekly_Bonus!B:B), LOOKUP(Q238,MinHr_Weekly_Bonus!A:A,MinHr_Weekly_Bonus!C:C), 0))</f>
        <v>0</v>
      </c>
      <c r="AB238" s="15">
        <f t="shared" si="9"/>
        <v>324.3</v>
      </c>
      <c r="AC238" s="18" t="str">
        <f t="shared" si="10"/>
        <v/>
      </c>
    </row>
    <row r="239">
      <c r="A239" s="10" t="s">
        <v>36</v>
      </c>
      <c r="B239" s="12">
        <v>46053.0</v>
      </c>
      <c r="C239" s="10" t="s">
        <v>89</v>
      </c>
      <c r="D239" s="10" t="s">
        <v>8</v>
      </c>
      <c r="E239" s="10" t="s">
        <v>11</v>
      </c>
      <c r="F239" s="10" t="s">
        <v>7</v>
      </c>
      <c r="G239" s="10" t="s">
        <v>44</v>
      </c>
      <c r="H239" s="10" t="s">
        <v>37</v>
      </c>
      <c r="I239" s="13">
        <v>0.3958333333333333</v>
      </c>
      <c r="J239" s="13">
        <v>0.7986111111111112</v>
      </c>
      <c r="K239" s="10">
        <v>30.0</v>
      </c>
      <c r="L239" s="13">
        <v>0.4888888888888889</v>
      </c>
      <c r="M239" s="13">
        <v>0.7416666666666667</v>
      </c>
      <c r="N239" s="10">
        <v>50.0</v>
      </c>
      <c r="O239" s="10">
        <v>1.0</v>
      </c>
      <c r="P239" s="10">
        <v>101.0</v>
      </c>
      <c r="Q239" s="14">
        <f t="shared" si="1"/>
        <v>46059</v>
      </c>
      <c r="R239" s="15">
        <f t="shared" si="2"/>
        <v>9.166666667</v>
      </c>
      <c r="S239" s="16">
        <f>IFERROR(__xludf.DUMMYFUNCTION("IFERROR( INDEX( FILTER( Reference!$F:$F, Reference!$A:$A = $E239, Reference!$E:$E = $D239, Reference!$C:$C = $Q239),1),""RATE_NOT_FOUND"")"),24.0)</f>
        <v>24</v>
      </c>
      <c r="T239" s="15">
        <f t="shared" si="3"/>
        <v>220</v>
      </c>
      <c r="U239" s="15">
        <f t="shared" si="4"/>
        <v>5.233333333</v>
      </c>
      <c r="V239" s="17">
        <f t="shared" si="5"/>
        <v>19.29936306</v>
      </c>
      <c r="W239" s="18" t="str">
        <f t="shared" si="6"/>
        <v>Saturday</v>
      </c>
      <c r="X239" s="18">
        <f t="shared" si="7"/>
        <v>50</v>
      </c>
      <c r="Y239" s="14">
        <f>IFERROR(__xludf.DUMMYFUNCTION("IFERROR( INDEX( FILTER(Reference!$D:$D, Reference!$A:$A=$E239, Reference!$C:$C=$Q239), 1),"""")"),46066.0)</f>
        <v>46066</v>
      </c>
      <c r="Z239" s="18">
        <f t="shared" si="8"/>
        <v>5.233333333</v>
      </c>
      <c r="AA239" s="18">
        <f>IF(Z239=0,0, IF(Z239&gt;=LOOKUP(Q239,MinHr_Weekly_Bonus!A:A,MinHr_Weekly_Bonus!B:B), LOOKUP(Q239,MinHr_Weekly_Bonus!A:A,MinHr_Weekly_Bonus!C:C), 0))</f>
        <v>0</v>
      </c>
      <c r="AB239" s="15">
        <f t="shared" si="9"/>
        <v>270</v>
      </c>
      <c r="AC239" s="18" t="str">
        <f t="shared" si="10"/>
        <v/>
      </c>
    </row>
    <row r="240">
      <c r="A240" s="10" t="s">
        <v>36</v>
      </c>
      <c r="B240" s="12">
        <v>46053.0</v>
      </c>
      <c r="C240" s="10" t="s">
        <v>46</v>
      </c>
      <c r="D240" s="10" t="s">
        <v>8</v>
      </c>
      <c r="E240" s="10" t="s">
        <v>11</v>
      </c>
      <c r="F240" s="10" t="s">
        <v>7</v>
      </c>
      <c r="G240" s="10" t="s">
        <v>44</v>
      </c>
      <c r="H240" s="10" t="s">
        <v>37</v>
      </c>
      <c r="I240" s="13">
        <v>0.4479166666666667</v>
      </c>
      <c r="J240" s="13">
        <v>0.8298611111111112</v>
      </c>
      <c r="K240" s="10">
        <v>30.0</v>
      </c>
      <c r="L240" s="13">
        <v>0.4888888888888889</v>
      </c>
      <c r="M240" s="13">
        <v>0.7416666666666667</v>
      </c>
      <c r="N240" s="10">
        <v>50.0</v>
      </c>
      <c r="O240" s="10">
        <v>1.0</v>
      </c>
      <c r="P240" s="10">
        <v>62.0</v>
      </c>
      <c r="Q240" s="14">
        <f t="shared" si="1"/>
        <v>46059</v>
      </c>
      <c r="R240" s="15">
        <f t="shared" si="2"/>
        <v>8.666666667</v>
      </c>
      <c r="S240" s="16">
        <f>IFERROR(__xludf.DUMMYFUNCTION("IFERROR( INDEX( FILTER( Reference!$F:$F, Reference!$A:$A = $E240, Reference!$E:$E = $D240, Reference!$C:$C = $Q240),1),""RATE_NOT_FOUND"")"),24.0)</f>
        <v>24</v>
      </c>
      <c r="T240" s="15">
        <f t="shared" si="3"/>
        <v>208</v>
      </c>
      <c r="U240" s="15">
        <f t="shared" si="4"/>
        <v>5.233333333</v>
      </c>
      <c r="V240" s="17">
        <f t="shared" si="5"/>
        <v>11.84713376</v>
      </c>
      <c r="W240" s="18" t="str">
        <f t="shared" si="6"/>
        <v>Saturday</v>
      </c>
      <c r="X240" s="18">
        <f t="shared" si="7"/>
        <v>0</v>
      </c>
      <c r="Y240" s="14">
        <f>IFERROR(__xludf.DUMMYFUNCTION("IFERROR( INDEX( FILTER(Reference!$D:$D, Reference!$A:$A=$E240, Reference!$C:$C=$Q240), 1),"""")"),46066.0)</f>
        <v>46066</v>
      </c>
      <c r="Z240" s="18">
        <f t="shared" si="8"/>
        <v>5.233333333</v>
      </c>
      <c r="AA240" s="18">
        <f>IF(Z240=0,0, IF(Z240&gt;=LOOKUP(Q240,MinHr_Weekly_Bonus!A:A,MinHr_Weekly_Bonus!B:B), LOOKUP(Q240,MinHr_Weekly_Bonus!A:A,MinHr_Weekly_Bonus!C:C), 0))</f>
        <v>0</v>
      </c>
      <c r="AB240" s="15">
        <f t="shared" si="9"/>
        <v>208</v>
      </c>
      <c r="AC240" s="18" t="str">
        <f t="shared" si="10"/>
        <v/>
      </c>
    </row>
    <row r="241">
      <c r="A241" s="10" t="s">
        <v>36</v>
      </c>
      <c r="B241" s="12">
        <v>46053.0</v>
      </c>
      <c r="C241" s="10" t="s">
        <v>67</v>
      </c>
      <c r="D241" s="10" t="s">
        <v>8</v>
      </c>
      <c r="E241" s="10" t="s">
        <v>11</v>
      </c>
      <c r="F241" s="10" t="s">
        <v>7</v>
      </c>
      <c r="G241" s="10" t="s">
        <v>44</v>
      </c>
      <c r="H241" s="10" t="s">
        <v>37</v>
      </c>
      <c r="I241" s="13">
        <v>0.4486111111111111</v>
      </c>
      <c r="J241" s="13">
        <v>0.7854166666666667</v>
      </c>
      <c r="K241" s="10">
        <v>30.0</v>
      </c>
      <c r="L241" s="13">
        <v>0.4888888888888889</v>
      </c>
      <c r="M241" s="13">
        <v>0.7416666666666667</v>
      </c>
      <c r="N241" s="10">
        <v>50.0</v>
      </c>
      <c r="O241" s="10">
        <v>1.0</v>
      </c>
      <c r="P241" s="10">
        <v>113.0</v>
      </c>
      <c r="Q241" s="14">
        <f t="shared" si="1"/>
        <v>46059</v>
      </c>
      <c r="R241" s="15">
        <f t="shared" si="2"/>
        <v>7.583333333</v>
      </c>
      <c r="S241" s="16">
        <f>IFERROR(__xludf.DUMMYFUNCTION("IFERROR( INDEX( FILTER( Reference!$F:$F, Reference!$A:$A = $E241, Reference!$E:$E = $D241, Reference!$C:$C = $Q241),1),""RATE_NOT_FOUND"")"),24.0)</f>
        <v>24</v>
      </c>
      <c r="T241" s="15">
        <f t="shared" si="3"/>
        <v>182</v>
      </c>
      <c r="U241" s="15">
        <f t="shared" si="4"/>
        <v>5.233333333</v>
      </c>
      <c r="V241" s="17">
        <f t="shared" si="5"/>
        <v>21.59235669</v>
      </c>
      <c r="W241" s="18" t="str">
        <f t="shared" si="6"/>
        <v>Saturday</v>
      </c>
      <c r="X241" s="18">
        <f t="shared" si="7"/>
        <v>50</v>
      </c>
      <c r="Y241" s="14">
        <f>IFERROR(__xludf.DUMMYFUNCTION("IFERROR( INDEX( FILTER(Reference!$D:$D, Reference!$A:$A=$E241, Reference!$C:$C=$Q241), 1),"""")"),46066.0)</f>
        <v>46066</v>
      </c>
      <c r="Z241" s="18">
        <f t="shared" si="8"/>
        <v>5.233333333</v>
      </c>
      <c r="AA241" s="18">
        <f>IF(Z241=0,0, IF(Z241&gt;=LOOKUP(Q241,MinHr_Weekly_Bonus!A:A,MinHr_Weekly_Bonus!B:B), LOOKUP(Q241,MinHr_Weekly_Bonus!A:A,MinHr_Weekly_Bonus!C:C), 0))</f>
        <v>0</v>
      </c>
      <c r="AB241" s="15">
        <f t="shared" si="9"/>
        <v>232</v>
      </c>
      <c r="AC241" s="18" t="str">
        <f t="shared" si="10"/>
        <v/>
      </c>
    </row>
    <row r="242">
      <c r="A242" s="10" t="s">
        <v>36</v>
      </c>
      <c r="B242" s="12">
        <v>46053.0</v>
      </c>
      <c r="C242" s="10" t="s">
        <v>37</v>
      </c>
      <c r="D242" s="10" t="s">
        <v>9</v>
      </c>
      <c r="E242" s="10" t="s">
        <v>11</v>
      </c>
      <c r="F242" s="10" t="s">
        <v>7</v>
      </c>
      <c r="G242" s="10" t="s">
        <v>44</v>
      </c>
      <c r="H242" s="10" t="s">
        <v>37</v>
      </c>
      <c r="I242" s="13">
        <v>0.4236111111111111</v>
      </c>
      <c r="J242" s="13">
        <v>0.8048611111111111</v>
      </c>
      <c r="K242" s="10">
        <v>30.0</v>
      </c>
      <c r="L242" s="13">
        <v>0.4791666666666667</v>
      </c>
      <c r="M242" s="13">
        <v>0.7291666666666666</v>
      </c>
      <c r="N242" s="10">
        <v>50.0</v>
      </c>
      <c r="O242" s="10">
        <v>1.0</v>
      </c>
      <c r="P242" s="10">
        <v>90.0</v>
      </c>
      <c r="Q242" s="14">
        <f t="shared" si="1"/>
        <v>46059</v>
      </c>
      <c r="R242" s="15">
        <f t="shared" si="2"/>
        <v>8.65</v>
      </c>
      <c r="S242" s="16">
        <f>IFERROR(__xludf.DUMMYFUNCTION("IFERROR( INDEX( FILTER( Reference!$F:$F, Reference!$A:$A = $E242, Reference!$E:$E = $D242, Reference!$C:$C = $Q242),1),""RATE_NOT_FOUND"")"),26.0)</f>
        <v>26</v>
      </c>
      <c r="T242" s="15">
        <f t="shared" si="3"/>
        <v>224.9</v>
      </c>
      <c r="U242" s="15">
        <f t="shared" si="4"/>
        <v>5.166666667</v>
      </c>
      <c r="V242" s="17">
        <f t="shared" si="5"/>
        <v>17.41935484</v>
      </c>
      <c r="W242" s="18" t="str">
        <f t="shared" si="6"/>
        <v>Saturday</v>
      </c>
      <c r="X242" s="18">
        <f t="shared" si="7"/>
        <v>0</v>
      </c>
      <c r="Y242" s="14">
        <f>IFERROR(__xludf.DUMMYFUNCTION("IFERROR( INDEX( FILTER(Reference!$D:$D, Reference!$A:$A=$E242, Reference!$C:$C=$Q242), 1),"""")"),46066.0)</f>
        <v>46066</v>
      </c>
      <c r="Z242" s="18">
        <f t="shared" si="8"/>
        <v>5.166666667</v>
      </c>
      <c r="AA242" s="18">
        <f>IF(Z242=0,0, IF(Z242&gt;=LOOKUP(Q242,MinHr_Weekly_Bonus!A:A,MinHr_Weekly_Bonus!B:B), LOOKUP(Q242,MinHr_Weekly_Bonus!A:A,MinHr_Weekly_Bonus!C:C), 0))</f>
        <v>0</v>
      </c>
      <c r="AB242" s="15">
        <f t="shared" si="9"/>
        <v>224.9</v>
      </c>
      <c r="AC242" s="18" t="str">
        <f t="shared" si="10"/>
        <v/>
      </c>
    </row>
    <row r="243">
      <c r="A243" s="10" t="s">
        <v>36</v>
      </c>
      <c r="B243" s="12">
        <v>46053.0</v>
      </c>
      <c r="C243" s="10" t="s">
        <v>90</v>
      </c>
      <c r="D243" s="10" t="s">
        <v>8</v>
      </c>
      <c r="E243" s="10" t="s">
        <v>11</v>
      </c>
      <c r="F243" s="10" t="s">
        <v>7</v>
      </c>
      <c r="G243" s="10" t="s">
        <v>44</v>
      </c>
      <c r="H243" s="10" t="s">
        <v>77</v>
      </c>
      <c r="I243" s="13">
        <v>0.3958333333333333</v>
      </c>
      <c r="J243" s="13">
        <v>0.78125</v>
      </c>
      <c r="K243" s="10">
        <v>30.0</v>
      </c>
      <c r="L243" s="13">
        <v>0.4791666666666667</v>
      </c>
      <c r="M243" s="13">
        <v>0.7291666666666666</v>
      </c>
      <c r="N243" s="10">
        <v>50.0</v>
      </c>
      <c r="O243" s="10">
        <v>1.0</v>
      </c>
      <c r="P243" s="10">
        <v>63.0</v>
      </c>
      <c r="Q243" s="14">
        <f t="shared" si="1"/>
        <v>46059</v>
      </c>
      <c r="R243" s="15">
        <f t="shared" si="2"/>
        <v>8.75</v>
      </c>
      <c r="S243" s="16">
        <f>IFERROR(__xludf.DUMMYFUNCTION("IFERROR( INDEX( FILTER( Reference!$F:$F, Reference!$A:$A = $E243, Reference!$E:$E = $D243, Reference!$C:$C = $Q243),1),""RATE_NOT_FOUND"")"),24.0)</f>
        <v>24</v>
      </c>
      <c r="T243" s="15">
        <f t="shared" si="3"/>
        <v>210</v>
      </c>
      <c r="U243" s="15">
        <f t="shared" si="4"/>
        <v>5.166666667</v>
      </c>
      <c r="V243" s="17">
        <f t="shared" si="5"/>
        <v>12.19354839</v>
      </c>
      <c r="W243" s="18" t="str">
        <f t="shared" si="6"/>
        <v>Saturday</v>
      </c>
      <c r="X243" s="18">
        <f t="shared" si="7"/>
        <v>0</v>
      </c>
      <c r="Y243" s="14">
        <f>IFERROR(__xludf.DUMMYFUNCTION("IFERROR( INDEX( FILTER(Reference!$D:$D, Reference!$A:$A=$E243, Reference!$C:$C=$Q243), 1),"""")"),46066.0)</f>
        <v>46066</v>
      </c>
      <c r="Z243" s="18">
        <f t="shared" si="8"/>
        <v>5.166666667</v>
      </c>
      <c r="AA243" s="18">
        <f>IF(Z243=0,0, IF(Z243&gt;=LOOKUP(Q243,MinHr_Weekly_Bonus!A:A,MinHr_Weekly_Bonus!B:B), LOOKUP(Q243,MinHr_Weekly_Bonus!A:A,MinHr_Weekly_Bonus!C:C), 0))</f>
        <v>0</v>
      </c>
      <c r="AB243" s="15">
        <f t="shared" si="9"/>
        <v>210</v>
      </c>
      <c r="AC243" s="18" t="str">
        <f t="shared" si="10"/>
        <v/>
      </c>
    </row>
    <row r="244">
      <c r="A244" s="10" t="s">
        <v>36</v>
      </c>
      <c r="B244" s="12">
        <v>46053.0</v>
      </c>
      <c r="C244" s="10" t="s">
        <v>79</v>
      </c>
      <c r="D244" s="10" t="s">
        <v>8</v>
      </c>
      <c r="E244" s="10" t="s">
        <v>11</v>
      </c>
      <c r="F244" s="10" t="s">
        <v>7</v>
      </c>
      <c r="G244" s="10" t="s">
        <v>44</v>
      </c>
      <c r="H244" s="10" t="s">
        <v>77</v>
      </c>
      <c r="I244" s="13">
        <v>0.4465277777777778</v>
      </c>
      <c r="J244" s="13">
        <v>0.7819444444444444</v>
      </c>
      <c r="K244" s="10">
        <v>30.0</v>
      </c>
      <c r="L244" s="13">
        <v>0.4791666666666667</v>
      </c>
      <c r="M244" s="13">
        <v>0.7291666666666666</v>
      </c>
      <c r="N244" s="10">
        <v>50.0</v>
      </c>
      <c r="O244" s="10">
        <v>1.0</v>
      </c>
      <c r="P244" s="10">
        <v>111.0</v>
      </c>
      <c r="Q244" s="14">
        <f t="shared" si="1"/>
        <v>46059</v>
      </c>
      <c r="R244" s="15">
        <f t="shared" si="2"/>
        <v>7.55</v>
      </c>
      <c r="S244" s="16">
        <f>IFERROR(__xludf.DUMMYFUNCTION("IFERROR( INDEX( FILTER( Reference!$F:$F, Reference!$A:$A = $E244, Reference!$E:$E = $D244, Reference!$C:$C = $Q244),1),""RATE_NOT_FOUND"")"),24.0)</f>
        <v>24</v>
      </c>
      <c r="T244" s="15">
        <f t="shared" si="3"/>
        <v>181.2</v>
      </c>
      <c r="U244" s="15">
        <f t="shared" si="4"/>
        <v>5.166666667</v>
      </c>
      <c r="V244" s="17">
        <f t="shared" si="5"/>
        <v>21.48387097</v>
      </c>
      <c r="W244" s="18" t="str">
        <f t="shared" si="6"/>
        <v>Saturday</v>
      </c>
      <c r="X244" s="18">
        <f t="shared" si="7"/>
        <v>50</v>
      </c>
      <c r="Y244" s="14">
        <f>IFERROR(__xludf.DUMMYFUNCTION("IFERROR( INDEX( FILTER(Reference!$D:$D, Reference!$A:$A=$E244, Reference!$C:$C=$Q244), 1),"""")"),46066.0)</f>
        <v>46066</v>
      </c>
      <c r="Z244" s="18">
        <f t="shared" si="8"/>
        <v>5.166666667</v>
      </c>
      <c r="AA244" s="18">
        <f>IF(Z244=0,0, IF(Z244&gt;=LOOKUP(Q244,MinHr_Weekly_Bonus!A:A,MinHr_Weekly_Bonus!B:B), LOOKUP(Q244,MinHr_Weekly_Bonus!A:A,MinHr_Weekly_Bonus!C:C), 0))</f>
        <v>0</v>
      </c>
      <c r="AB244" s="15">
        <f t="shared" si="9"/>
        <v>231.2</v>
      </c>
      <c r="AC244" s="18" t="str">
        <f t="shared" si="10"/>
        <v/>
      </c>
    </row>
    <row r="245">
      <c r="A245" s="10" t="s">
        <v>36</v>
      </c>
      <c r="B245" s="12">
        <v>46053.0</v>
      </c>
      <c r="C245" s="10" t="s">
        <v>77</v>
      </c>
      <c r="D245" s="10" t="s">
        <v>9</v>
      </c>
      <c r="E245" s="10" t="s">
        <v>11</v>
      </c>
      <c r="F245" s="10" t="s">
        <v>7</v>
      </c>
      <c r="G245" s="10" t="s">
        <v>44</v>
      </c>
      <c r="H245" s="10" t="s">
        <v>77</v>
      </c>
      <c r="I245" s="13">
        <v>0.45208333333333334</v>
      </c>
      <c r="J245" s="13">
        <v>0.79375</v>
      </c>
      <c r="K245" s="10">
        <v>30.0</v>
      </c>
      <c r="L245" s="13">
        <v>0.4791666666666667</v>
      </c>
      <c r="M245" s="13">
        <v>0.7291666666666666</v>
      </c>
      <c r="N245" s="10">
        <v>50.0</v>
      </c>
      <c r="O245" s="10">
        <v>1.0</v>
      </c>
      <c r="P245" s="10">
        <v>78.0</v>
      </c>
      <c r="Q245" s="14">
        <f t="shared" si="1"/>
        <v>46059</v>
      </c>
      <c r="R245" s="15">
        <f t="shared" si="2"/>
        <v>7.7</v>
      </c>
      <c r="S245" s="16">
        <f>IFERROR(__xludf.DUMMYFUNCTION("IFERROR( INDEX( FILTER( Reference!$F:$F, Reference!$A:$A = $E245, Reference!$E:$E = $D245, Reference!$C:$C = $Q245),1),""RATE_NOT_FOUND"")"),26.0)</f>
        <v>26</v>
      </c>
      <c r="T245" s="15">
        <f t="shared" si="3"/>
        <v>200.2</v>
      </c>
      <c r="U245" s="15">
        <f t="shared" si="4"/>
        <v>5.166666667</v>
      </c>
      <c r="V245" s="17">
        <f t="shared" si="5"/>
        <v>15.09677419</v>
      </c>
      <c r="W245" s="18" t="str">
        <f t="shared" si="6"/>
        <v>Saturday</v>
      </c>
      <c r="X245" s="18">
        <f t="shared" si="7"/>
        <v>0</v>
      </c>
      <c r="Y245" s="14">
        <f>IFERROR(__xludf.DUMMYFUNCTION("IFERROR( INDEX( FILTER(Reference!$D:$D, Reference!$A:$A=$E245, Reference!$C:$C=$Q245), 1),"""")"),46066.0)</f>
        <v>46066</v>
      </c>
      <c r="Z245" s="18">
        <f t="shared" si="8"/>
        <v>5.166666667</v>
      </c>
      <c r="AA245" s="18">
        <f>IF(Z245=0,0, IF(Z245&gt;=LOOKUP(Q245,MinHr_Weekly_Bonus!A:A,MinHr_Weekly_Bonus!B:B), LOOKUP(Q245,MinHr_Weekly_Bonus!A:A,MinHr_Weekly_Bonus!C:C), 0))</f>
        <v>0</v>
      </c>
      <c r="AB245" s="15">
        <f t="shared" si="9"/>
        <v>200.2</v>
      </c>
      <c r="AC245" s="18" t="str">
        <f t="shared" si="10"/>
        <v/>
      </c>
    </row>
    <row r="246">
      <c r="A246" s="10" t="s">
        <v>36</v>
      </c>
      <c r="B246" s="12">
        <v>46053.0</v>
      </c>
      <c r="C246" s="10" t="s">
        <v>61</v>
      </c>
      <c r="D246" s="10" t="s">
        <v>10</v>
      </c>
      <c r="E246" s="10" t="s">
        <v>6</v>
      </c>
      <c r="F246" s="10" t="s">
        <v>7</v>
      </c>
      <c r="G246" s="10" t="s">
        <v>44</v>
      </c>
      <c r="I246" s="13">
        <v>0.6423611111111112</v>
      </c>
      <c r="J246" s="13">
        <v>0.8368055555555556</v>
      </c>
      <c r="K246" s="10">
        <v>0.0</v>
      </c>
      <c r="O246" s="10">
        <v>1.0</v>
      </c>
      <c r="Q246" s="14">
        <f t="shared" si="1"/>
        <v>46059</v>
      </c>
      <c r="R246" s="15">
        <f t="shared" si="2"/>
        <v>4.666666667</v>
      </c>
      <c r="S246" s="16">
        <f>IFERROR(__xludf.DUMMYFUNCTION("IFERROR( INDEX( FILTER( Reference!$F:$F, Reference!$A:$A = $E246, Reference!$E:$E = $D246, Reference!$C:$C = $Q246),1),""RATE_NOT_FOUND"")"),22.0)</f>
        <v>22</v>
      </c>
      <c r="T246" s="15">
        <f t="shared" si="3"/>
        <v>102.6666667</v>
      </c>
      <c r="U246" s="15">
        <f t="shared" si="4"/>
        <v>0</v>
      </c>
      <c r="V246" s="17">
        <f t="shared" si="5"/>
        <v>0</v>
      </c>
      <c r="W246" s="18" t="str">
        <f t="shared" si="6"/>
        <v>Saturday</v>
      </c>
      <c r="X246" s="18">
        <f t="shared" si="7"/>
        <v>0</v>
      </c>
      <c r="Y246" s="14">
        <f>IFERROR(__xludf.DUMMYFUNCTION("IFERROR( INDEX( FILTER(Reference!$D:$D, Reference!$A:$A=$E246, Reference!$C:$C=$Q246), 1),"""")"),46066.0)</f>
        <v>46066</v>
      </c>
      <c r="Z246" s="18">
        <f t="shared" si="8"/>
        <v>0</v>
      </c>
      <c r="AA246" s="18">
        <f>IF(Z246=0,0, IF(Z246&gt;=LOOKUP(Q246,MinHr_Weekly_Bonus!A:A,MinHr_Weekly_Bonus!B:B), LOOKUP(Q246,MinHr_Weekly_Bonus!A:A,MinHr_Weekly_Bonus!C:C), 0))</f>
        <v>0</v>
      </c>
      <c r="AB246" s="15">
        <f t="shared" si="9"/>
        <v>102.6666667</v>
      </c>
      <c r="AC246" s="18" t="str">
        <f t="shared" si="10"/>
        <v/>
      </c>
    </row>
    <row r="247">
      <c r="Q247" s="14"/>
      <c r="R247" s="15"/>
      <c r="S247" s="15"/>
      <c r="T247" s="15"/>
      <c r="U247" s="15"/>
      <c r="V247" s="17"/>
      <c r="Y247" s="14"/>
    </row>
    <row r="248">
      <c r="Q248" s="14"/>
      <c r="R248" s="15"/>
      <c r="S248" s="15"/>
      <c r="T248" s="15"/>
      <c r="U248" s="15"/>
      <c r="V248" s="17"/>
      <c r="Y248" s="14"/>
    </row>
    <row r="249">
      <c r="Q249" s="14"/>
      <c r="R249" s="15"/>
      <c r="S249" s="15"/>
      <c r="T249" s="15"/>
      <c r="U249" s="15"/>
      <c r="V249" s="17"/>
      <c r="Y249" s="14"/>
    </row>
    <row r="250">
      <c r="Q250" s="14"/>
      <c r="R250" s="15"/>
      <c r="S250" s="15"/>
      <c r="T250" s="15"/>
      <c r="U250" s="15"/>
      <c r="V250" s="17"/>
      <c r="Y250" s="14"/>
    </row>
    <row r="251">
      <c r="Q251" s="14"/>
      <c r="R251" s="15"/>
      <c r="S251" s="15"/>
      <c r="T251" s="15"/>
      <c r="U251" s="15"/>
      <c r="V251" s="17"/>
      <c r="Y251" s="14"/>
    </row>
    <row r="252">
      <c r="Q252" s="14"/>
      <c r="R252" s="15"/>
      <c r="S252" s="15"/>
      <c r="T252" s="15"/>
      <c r="U252" s="15"/>
      <c r="V252" s="17"/>
      <c r="Y252" s="14"/>
    </row>
    <row r="253">
      <c r="Q253" s="14"/>
      <c r="R253" s="15"/>
      <c r="S253" s="15"/>
      <c r="T253" s="15"/>
      <c r="U253" s="15"/>
      <c r="V253" s="17"/>
      <c r="Y253" s="14"/>
    </row>
    <row r="254">
      <c r="Q254" s="14"/>
      <c r="R254" s="15"/>
      <c r="S254" s="15"/>
      <c r="T254" s="15"/>
      <c r="U254" s="15"/>
      <c r="V254" s="17"/>
      <c r="Y254" s="14"/>
    </row>
    <row r="255">
      <c r="Q255" s="14"/>
      <c r="R255" s="15"/>
      <c r="S255" s="15"/>
      <c r="T255" s="15"/>
      <c r="U255" s="15"/>
      <c r="V255" s="17"/>
      <c r="Y255" s="14"/>
    </row>
    <row r="256">
      <c r="Q256" s="14"/>
      <c r="R256" s="15"/>
      <c r="S256" s="15"/>
      <c r="T256" s="15"/>
      <c r="U256" s="15"/>
      <c r="V256" s="17"/>
      <c r="Y256" s="14"/>
    </row>
    <row r="257">
      <c r="Q257" s="14"/>
      <c r="R257" s="15"/>
      <c r="S257" s="15"/>
      <c r="T257" s="15"/>
      <c r="U257" s="15"/>
      <c r="V257" s="17"/>
      <c r="Y257" s="14"/>
    </row>
    <row r="258">
      <c r="Q258" s="14"/>
      <c r="R258" s="15"/>
      <c r="S258" s="15"/>
      <c r="T258" s="15"/>
      <c r="U258" s="15"/>
      <c r="V258" s="17"/>
      <c r="Y258" s="14"/>
    </row>
    <row r="259">
      <c r="Q259" s="14"/>
      <c r="R259" s="15"/>
      <c r="S259" s="15"/>
      <c r="T259" s="15"/>
      <c r="U259" s="15"/>
      <c r="V259" s="17"/>
      <c r="Y259" s="14"/>
    </row>
    <row r="260">
      <c r="Q260" s="14"/>
      <c r="R260" s="15"/>
      <c r="S260" s="15"/>
      <c r="T260" s="15"/>
      <c r="U260" s="15"/>
      <c r="V260" s="17"/>
      <c r="Y260" s="14"/>
    </row>
    <row r="261">
      <c r="Q261" s="14"/>
      <c r="R261" s="15"/>
      <c r="S261" s="15"/>
      <c r="T261" s="15"/>
      <c r="U261" s="15"/>
      <c r="V261" s="17"/>
      <c r="Y261" s="14"/>
    </row>
    <row r="262">
      <c r="Q262" s="14"/>
      <c r="R262" s="15"/>
      <c r="S262" s="15"/>
      <c r="T262" s="15"/>
      <c r="U262" s="15"/>
      <c r="V262" s="17"/>
      <c r="Y262" s="14"/>
    </row>
    <row r="263">
      <c r="Q263" s="14"/>
      <c r="R263" s="15"/>
      <c r="S263" s="15"/>
      <c r="T263" s="15"/>
      <c r="U263" s="15"/>
      <c r="V263" s="17"/>
      <c r="Y263" s="14"/>
    </row>
    <row r="264">
      <c r="Q264" s="14"/>
      <c r="R264" s="15"/>
      <c r="S264" s="15"/>
      <c r="T264" s="15"/>
      <c r="U264" s="15"/>
      <c r="V264" s="17"/>
      <c r="Y264" s="14"/>
    </row>
    <row r="265">
      <c r="Q265" s="14"/>
      <c r="R265" s="15"/>
      <c r="S265" s="15"/>
      <c r="T265" s="15"/>
      <c r="U265" s="15"/>
      <c r="V265" s="17"/>
      <c r="Y265" s="14"/>
    </row>
    <row r="266">
      <c r="Q266" s="14"/>
      <c r="R266" s="15"/>
      <c r="S266" s="15"/>
      <c r="T266" s="15"/>
      <c r="U266" s="15"/>
      <c r="V266" s="17"/>
      <c r="Y266" s="14"/>
    </row>
    <row r="267">
      <c r="Q267" s="14"/>
      <c r="R267" s="15"/>
      <c r="S267" s="15"/>
      <c r="T267" s="15"/>
      <c r="U267" s="15"/>
      <c r="V267" s="17"/>
      <c r="Y267" s="14"/>
    </row>
    <row r="268">
      <c r="Q268" s="14"/>
      <c r="R268" s="15"/>
      <c r="S268" s="15"/>
      <c r="T268" s="15"/>
      <c r="U268" s="15"/>
      <c r="V268" s="17"/>
      <c r="Y268" s="14"/>
    </row>
    <row r="269">
      <c r="Q269" s="14"/>
      <c r="R269" s="15"/>
      <c r="S269" s="15"/>
      <c r="T269" s="15"/>
      <c r="U269" s="15"/>
      <c r="V269" s="17"/>
      <c r="Y269" s="14"/>
    </row>
    <row r="270">
      <c r="Q270" s="14"/>
      <c r="R270" s="15"/>
      <c r="S270" s="15"/>
      <c r="T270" s="15"/>
      <c r="U270" s="15"/>
      <c r="V270" s="17"/>
      <c r="Y270" s="14"/>
    </row>
    <row r="271">
      <c r="Q271" s="14"/>
      <c r="R271" s="15"/>
      <c r="S271" s="15"/>
      <c r="T271" s="15"/>
      <c r="U271" s="15"/>
      <c r="V271" s="17"/>
      <c r="Y271" s="14"/>
    </row>
    <row r="272">
      <c r="Q272" s="14"/>
      <c r="R272" s="15"/>
      <c r="S272" s="15"/>
      <c r="T272" s="15"/>
      <c r="U272" s="15"/>
      <c r="V272" s="17"/>
      <c r="Y272" s="14"/>
    </row>
    <row r="273">
      <c r="Q273" s="14"/>
      <c r="R273" s="15"/>
      <c r="S273" s="15"/>
      <c r="T273" s="15"/>
      <c r="U273" s="15"/>
      <c r="V273" s="17"/>
      <c r="Y273" s="14"/>
    </row>
    <row r="274">
      <c r="Q274" s="14"/>
      <c r="R274" s="15"/>
      <c r="S274" s="15"/>
      <c r="T274" s="15"/>
      <c r="U274" s="15"/>
      <c r="V274" s="17"/>
      <c r="Y274" s="14"/>
    </row>
    <row r="275">
      <c r="Q275" s="14"/>
      <c r="R275" s="15"/>
      <c r="S275" s="15"/>
      <c r="T275" s="15"/>
      <c r="U275" s="15"/>
      <c r="V275" s="17"/>
      <c r="Y275" s="14"/>
    </row>
    <row r="276">
      <c r="Q276" s="14"/>
      <c r="R276" s="15"/>
      <c r="S276" s="15"/>
      <c r="T276" s="15"/>
      <c r="U276" s="15"/>
      <c r="V276" s="17"/>
      <c r="Y276" s="14"/>
    </row>
    <row r="277">
      <c r="Q277" s="14"/>
      <c r="R277" s="15"/>
      <c r="S277" s="15"/>
      <c r="T277" s="15"/>
      <c r="U277" s="15"/>
      <c r="V277" s="17"/>
      <c r="Y277" s="14"/>
    </row>
    <row r="278">
      <c r="Q278" s="14"/>
      <c r="R278" s="15"/>
      <c r="S278" s="15"/>
      <c r="T278" s="15"/>
      <c r="U278" s="15"/>
      <c r="V278" s="17"/>
      <c r="Y278" s="14"/>
    </row>
    <row r="279">
      <c r="Q279" s="14"/>
      <c r="R279" s="15"/>
      <c r="S279" s="15"/>
      <c r="T279" s="15"/>
      <c r="U279" s="15"/>
      <c r="V279" s="17"/>
      <c r="Y279" s="14"/>
    </row>
    <row r="280">
      <c r="Q280" s="14"/>
      <c r="R280" s="15"/>
      <c r="S280" s="15"/>
      <c r="T280" s="15"/>
      <c r="U280" s="15"/>
      <c r="V280" s="17"/>
      <c r="Y280" s="14"/>
    </row>
    <row r="281">
      <c r="Q281" s="14"/>
      <c r="R281" s="15"/>
      <c r="S281" s="15"/>
      <c r="T281" s="15"/>
      <c r="U281" s="15"/>
      <c r="V281" s="17"/>
      <c r="Y281" s="14"/>
    </row>
    <row r="282">
      <c r="Q282" s="14"/>
      <c r="R282" s="15"/>
      <c r="S282" s="15"/>
      <c r="T282" s="15"/>
      <c r="U282" s="15"/>
      <c r="V282" s="17"/>
      <c r="Y282" s="14"/>
    </row>
    <row r="283">
      <c r="Q283" s="14"/>
      <c r="R283" s="15"/>
      <c r="S283" s="15"/>
      <c r="T283" s="15"/>
      <c r="U283" s="15"/>
      <c r="V283" s="17"/>
      <c r="Y283" s="14"/>
    </row>
    <row r="284">
      <c r="Q284" s="14"/>
      <c r="R284" s="15"/>
      <c r="S284" s="15"/>
      <c r="T284" s="15"/>
      <c r="U284" s="15"/>
      <c r="V284" s="17"/>
      <c r="Y284" s="14"/>
    </row>
    <row r="285">
      <c r="Q285" s="14"/>
      <c r="R285" s="15"/>
      <c r="S285" s="15"/>
      <c r="T285" s="15"/>
      <c r="U285" s="15"/>
      <c r="V285" s="17"/>
      <c r="Y285" s="14"/>
    </row>
    <row r="286">
      <c r="Q286" s="14"/>
      <c r="R286" s="15"/>
      <c r="S286" s="15"/>
      <c r="T286" s="15"/>
      <c r="U286" s="15"/>
      <c r="V286" s="17"/>
      <c r="Y286" s="14"/>
    </row>
    <row r="287">
      <c r="Q287" s="14"/>
      <c r="R287" s="15"/>
      <c r="S287" s="15"/>
      <c r="T287" s="15"/>
      <c r="U287" s="15"/>
      <c r="V287" s="17"/>
      <c r="Y287" s="14"/>
    </row>
    <row r="288">
      <c r="Q288" s="14"/>
      <c r="R288" s="15"/>
      <c r="S288" s="15"/>
      <c r="T288" s="15"/>
      <c r="U288" s="15"/>
      <c r="V288" s="17"/>
      <c r="Y288" s="14"/>
    </row>
    <row r="289">
      <c r="Q289" s="14"/>
      <c r="R289" s="15"/>
      <c r="S289" s="15"/>
      <c r="T289" s="15"/>
      <c r="U289" s="15"/>
      <c r="V289" s="17"/>
      <c r="Y289" s="14"/>
    </row>
    <row r="290">
      <c r="Q290" s="14"/>
      <c r="R290" s="15"/>
      <c r="S290" s="15"/>
      <c r="T290" s="15"/>
      <c r="U290" s="15"/>
      <c r="V290" s="17"/>
      <c r="Y290" s="14"/>
    </row>
    <row r="291">
      <c r="Q291" s="14"/>
      <c r="R291" s="15"/>
      <c r="S291" s="15"/>
      <c r="T291" s="15"/>
      <c r="U291" s="15"/>
      <c r="V291" s="17"/>
      <c r="Y291" s="14"/>
    </row>
    <row r="292">
      <c r="Q292" s="14"/>
      <c r="R292" s="15"/>
      <c r="S292" s="15"/>
      <c r="T292" s="15"/>
      <c r="U292" s="15"/>
      <c r="V292" s="17"/>
      <c r="Y292" s="14"/>
    </row>
    <row r="293">
      <c r="Q293" s="14"/>
      <c r="R293" s="15"/>
      <c r="S293" s="15"/>
      <c r="T293" s="15"/>
      <c r="U293" s="15"/>
      <c r="V293" s="17"/>
      <c r="Y293" s="14"/>
    </row>
    <row r="294">
      <c r="Q294" s="14"/>
      <c r="R294" s="15"/>
      <c r="S294" s="15"/>
      <c r="T294" s="15"/>
      <c r="U294" s="15"/>
      <c r="V294" s="17"/>
      <c r="Y294" s="14"/>
    </row>
    <row r="295">
      <c r="Q295" s="14"/>
      <c r="R295" s="15"/>
      <c r="S295" s="15"/>
      <c r="T295" s="15"/>
      <c r="U295" s="15"/>
      <c r="V295" s="17"/>
      <c r="Y295" s="14"/>
    </row>
    <row r="296">
      <c r="Q296" s="14"/>
      <c r="R296" s="15"/>
      <c r="S296" s="15"/>
      <c r="T296" s="15"/>
      <c r="U296" s="15"/>
      <c r="V296" s="17"/>
      <c r="Y296" s="14"/>
    </row>
    <row r="297">
      <c r="Q297" s="14"/>
      <c r="R297" s="15"/>
      <c r="S297" s="15"/>
      <c r="T297" s="15"/>
      <c r="U297" s="15"/>
      <c r="V297" s="17"/>
      <c r="Y297" s="14"/>
    </row>
    <row r="298">
      <c r="Q298" s="14"/>
      <c r="R298" s="15"/>
      <c r="S298" s="15"/>
      <c r="T298" s="15"/>
      <c r="U298" s="15"/>
      <c r="V298" s="17"/>
      <c r="Y298" s="14"/>
    </row>
    <row r="299">
      <c r="Q299" s="14"/>
      <c r="R299" s="15"/>
      <c r="S299" s="15"/>
      <c r="T299" s="15"/>
      <c r="U299" s="15"/>
      <c r="V299" s="17"/>
      <c r="Y299" s="14"/>
    </row>
    <row r="300">
      <c r="Q300" s="14"/>
      <c r="R300" s="15"/>
      <c r="S300" s="15"/>
      <c r="T300" s="15"/>
      <c r="U300" s="15"/>
      <c r="V300" s="17"/>
      <c r="Y300" s="14"/>
    </row>
    <row r="301">
      <c r="Q301" s="14"/>
      <c r="R301" s="15"/>
      <c r="S301" s="15"/>
      <c r="T301" s="15"/>
      <c r="U301" s="15"/>
      <c r="V301" s="17"/>
      <c r="Y301" s="14"/>
    </row>
    <row r="302">
      <c r="Q302" s="14"/>
      <c r="R302" s="15"/>
      <c r="S302" s="15"/>
      <c r="T302" s="15"/>
      <c r="U302" s="15"/>
      <c r="V302" s="17"/>
      <c r="Y302" s="14"/>
    </row>
    <row r="303">
      <c r="Q303" s="14"/>
      <c r="R303" s="15"/>
      <c r="S303" s="15"/>
      <c r="T303" s="15"/>
      <c r="U303" s="15"/>
      <c r="V303" s="17"/>
      <c r="Y303" s="14"/>
    </row>
    <row r="304">
      <c r="Q304" s="14"/>
      <c r="R304" s="15"/>
      <c r="S304" s="15"/>
      <c r="T304" s="15"/>
      <c r="U304" s="15"/>
      <c r="V304" s="17"/>
      <c r="Y304" s="14"/>
    </row>
    <row r="305">
      <c r="Q305" s="14"/>
      <c r="R305" s="15"/>
      <c r="S305" s="15"/>
      <c r="T305" s="15"/>
      <c r="U305" s="15"/>
      <c r="V305" s="17"/>
      <c r="Y305" s="14"/>
    </row>
    <row r="306">
      <c r="Q306" s="14"/>
      <c r="R306" s="15"/>
      <c r="S306" s="15"/>
      <c r="T306" s="15"/>
      <c r="U306" s="15"/>
      <c r="V306" s="17"/>
      <c r="Y306" s="14"/>
    </row>
    <row r="307">
      <c r="Q307" s="14"/>
      <c r="R307" s="15"/>
      <c r="S307" s="15"/>
      <c r="T307" s="15"/>
      <c r="U307" s="15"/>
      <c r="V307" s="17"/>
      <c r="Y307" s="14"/>
    </row>
    <row r="308">
      <c r="Q308" s="14"/>
      <c r="R308" s="15"/>
      <c r="S308" s="15"/>
      <c r="T308" s="15"/>
      <c r="U308" s="15"/>
      <c r="V308" s="17"/>
      <c r="Y308" s="14"/>
    </row>
    <row r="309">
      <c r="Q309" s="14"/>
      <c r="R309" s="15"/>
      <c r="S309" s="15"/>
      <c r="T309" s="15"/>
      <c r="U309" s="15"/>
      <c r="V309" s="17"/>
      <c r="Y309" s="14"/>
    </row>
    <row r="310">
      <c r="Q310" s="14"/>
      <c r="R310" s="15"/>
      <c r="S310" s="15"/>
      <c r="T310" s="15"/>
      <c r="U310" s="15"/>
      <c r="V310" s="17"/>
      <c r="Y310" s="14"/>
    </row>
    <row r="311">
      <c r="Q311" s="14"/>
      <c r="R311" s="15"/>
      <c r="S311" s="15"/>
      <c r="T311" s="15"/>
      <c r="U311" s="15"/>
      <c r="V311" s="17"/>
      <c r="Y311" s="14"/>
    </row>
    <row r="312">
      <c r="Q312" s="14"/>
      <c r="R312" s="15"/>
      <c r="S312" s="15"/>
      <c r="T312" s="15"/>
      <c r="U312" s="15"/>
      <c r="V312" s="17"/>
      <c r="Y312" s="14"/>
    </row>
    <row r="313">
      <c r="Q313" s="14"/>
      <c r="R313" s="15"/>
      <c r="S313" s="15"/>
      <c r="T313" s="15"/>
      <c r="U313" s="15"/>
      <c r="V313" s="17"/>
      <c r="Y313" s="14"/>
    </row>
    <row r="314">
      <c r="Q314" s="14"/>
      <c r="R314" s="15"/>
      <c r="S314" s="15"/>
      <c r="T314" s="15"/>
      <c r="U314" s="15"/>
      <c r="V314" s="17"/>
      <c r="Y314" s="14"/>
    </row>
    <row r="315">
      <c r="Q315" s="14"/>
      <c r="R315" s="15"/>
      <c r="S315" s="15"/>
      <c r="T315" s="15"/>
      <c r="U315" s="15"/>
      <c r="V315" s="17"/>
      <c r="Y315" s="14"/>
    </row>
    <row r="316">
      <c r="Q316" s="14"/>
      <c r="R316" s="15"/>
      <c r="S316" s="15"/>
      <c r="T316" s="15"/>
      <c r="U316" s="15"/>
      <c r="V316" s="17"/>
      <c r="Y316" s="14"/>
    </row>
    <row r="317">
      <c r="Q317" s="14"/>
      <c r="R317" s="15"/>
      <c r="S317" s="15"/>
      <c r="T317" s="15"/>
      <c r="U317" s="15"/>
      <c r="V317" s="17"/>
      <c r="Y317" s="14"/>
    </row>
    <row r="318">
      <c r="Q318" s="14"/>
      <c r="R318" s="15"/>
      <c r="S318" s="15"/>
      <c r="T318" s="15"/>
      <c r="U318" s="15"/>
      <c r="V318" s="17"/>
      <c r="Y318" s="14"/>
    </row>
    <row r="319">
      <c r="Q319" s="14"/>
      <c r="R319" s="15"/>
      <c r="S319" s="15"/>
      <c r="T319" s="15"/>
      <c r="U319" s="15"/>
      <c r="V319" s="17"/>
      <c r="Y319" s="14"/>
    </row>
    <row r="320">
      <c r="Q320" s="14"/>
      <c r="R320" s="15"/>
      <c r="S320" s="15"/>
      <c r="T320" s="15"/>
      <c r="U320" s="15"/>
      <c r="V320" s="17"/>
      <c r="Y320" s="14"/>
    </row>
    <row r="321">
      <c r="Q321" s="14"/>
      <c r="R321" s="15"/>
      <c r="S321" s="15"/>
      <c r="T321" s="15"/>
      <c r="U321" s="15"/>
      <c r="V321" s="17"/>
      <c r="Y321" s="14"/>
    </row>
    <row r="322">
      <c r="Q322" s="14"/>
      <c r="R322" s="15"/>
      <c r="S322" s="15"/>
      <c r="T322" s="15"/>
      <c r="U322" s="15"/>
      <c r="V322" s="17"/>
      <c r="Y322" s="14"/>
    </row>
    <row r="323">
      <c r="Q323" s="14"/>
      <c r="R323" s="15"/>
      <c r="S323" s="15"/>
      <c r="T323" s="15"/>
      <c r="U323" s="15"/>
      <c r="V323" s="17"/>
      <c r="Y323" s="14"/>
    </row>
    <row r="324">
      <c r="Q324" s="14"/>
      <c r="R324" s="15"/>
      <c r="S324" s="15"/>
      <c r="T324" s="15"/>
      <c r="U324" s="15"/>
      <c r="V324" s="17"/>
      <c r="Y324" s="14"/>
    </row>
    <row r="325">
      <c r="Q325" s="14"/>
      <c r="R325" s="15"/>
      <c r="S325" s="15"/>
      <c r="T325" s="15"/>
      <c r="U325" s="15"/>
      <c r="V325" s="17"/>
      <c r="Y325" s="14"/>
    </row>
    <row r="326">
      <c r="Q326" s="14"/>
      <c r="R326" s="15"/>
      <c r="S326" s="15"/>
      <c r="T326" s="15"/>
      <c r="U326" s="15"/>
      <c r="V326" s="17"/>
      <c r="Y326" s="14"/>
    </row>
    <row r="327">
      <c r="Q327" s="14"/>
      <c r="R327" s="15"/>
      <c r="S327" s="15"/>
      <c r="T327" s="15"/>
      <c r="U327" s="15"/>
      <c r="V327" s="17"/>
      <c r="Y327" s="14"/>
    </row>
    <row r="328">
      <c r="Q328" s="14"/>
      <c r="R328" s="15"/>
      <c r="S328" s="15"/>
      <c r="T328" s="15"/>
      <c r="U328" s="15"/>
      <c r="V328" s="17"/>
      <c r="Y328" s="14"/>
    </row>
    <row r="329">
      <c r="Q329" s="14"/>
      <c r="R329" s="15"/>
      <c r="S329" s="15"/>
      <c r="T329" s="15"/>
      <c r="U329" s="15"/>
      <c r="V329" s="17"/>
      <c r="Y329" s="14"/>
    </row>
    <row r="330">
      <c r="Q330" s="14"/>
      <c r="R330" s="15"/>
      <c r="S330" s="15"/>
      <c r="T330" s="15"/>
      <c r="U330" s="15"/>
      <c r="V330" s="17"/>
      <c r="Y330" s="14"/>
    </row>
    <row r="331">
      <c r="Q331" s="14"/>
      <c r="R331" s="15"/>
      <c r="S331" s="15"/>
      <c r="T331" s="15"/>
      <c r="U331" s="15"/>
      <c r="V331" s="17"/>
      <c r="Y331" s="14"/>
    </row>
    <row r="332">
      <c r="Q332" s="14"/>
      <c r="R332" s="15"/>
      <c r="S332" s="15"/>
      <c r="T332" s="15"/>
      <c r="U332" s="15"/>
      <c r="V332" s="17"/>
      <c r="Y332" s="14"/>
    </row>
    <row r="333">
      <c r="Q333" s="14"/>
      <c r="R333" s="15"/>
      <c r="S333" s="15"/>
      <c r="T333" s="15"/>
      <c r="U333" s="15"/>
      <c r="V333" s="17"/>
      <c r="Y333" s="14"/>
    </row>
    <row r="334">
      <c r="Q334" s="14"/>
      <c r="R334" s="15"/>
      <c r="S334" s="15"/>
      <c r="T334" s="15"/>
      <c r="U334" s="15"/>
      <c r="V334" s="17"/>
      <c r="Y334" s="14"/>
    </row>
    <row r="335">
      <c r="Q335" s="14"/>
      <c r="R335" s="15"/>
      <c r="S335" s="15"/>
      <c r="T335" s="15"/>
      <c r="U335" s="15"/>
      <c r="V335" s="17"/>
      <c r="Y335" s="14"/>
    </row>
    <row r="336">
      <c r="Q336" s="14"/>
      <c r="R336" s="15"/>
      <c r="S336" s="15"/>
      <c r="T336" s="15"/>
      <c r="U336" s="15"/>
      <c r="V336" s="17"/>
      <c r="Y336" s="14"/>
    </row>
    <row r="337">
      <c r="Q337" s="14"/>
      <c r="R337" s="15"/>
      <c r="S337" s="15"/>
      <c r="T337" s="15"/>
      <c r="U337" s="15"/>
      <c r="V337" s="17"/>
      <c r="Y337" s="14"/>
    </row>
    <row r="338">
      <c r="Q338" s="14"/>
      <c r="R338" s="15"/>
      <c r="S338" s="15"/>
      <c r="T338" s="15"/>
      <c r="U338" s="15"/>
      <c r="V338" s="17"/>
      <c r="Y338" s="14"/>
    </row>
    <row r="339">
      <c r="Q339" s="14"/>
      <c r="R339" s="15"/>
      <c r="S339" s="15"/>
      <c r="T339" s="15"/>
      <c r="U339" s="15"/>
      <c r="V339" s="17"/>
      <c r="Y339" s="14"/>
    </row>
    <row r="340">
      <c r="Q340" s="14"/>
      <c r="R340" s="15"/>
      <c r="S340" s="15"/>
      <c r="T340" s="15"/>
      <c r="U340" s="15"/>
      <c r="V340" s="17"/>
      <c r="Y340" s="14"/>
    </row>
    <row r="341">
      <c r="Q341" s="14"/>
      <c r="R341" s="15"/>
      <c r="S341" s="15"/>
      <c r="T341" s="15"/>
      <c r="U341" s="15"/>
      <c r="V341" s="17"/>
      <c r="Y341" s="14"/>
    </row>
    <row r="342">
      <c r="Q342" s="14"/>
      <c r="R342" s="15"/>
      <c r="S342" s="15"/>
      <c r="T342" s="15"/>
      <c r="U342" s="15"/>
      <c r="V342" s="17"/>
      <c r="Y342" s="14"/>
    </row>
    <row r="343">
      <c r="Q343" s="14"/>
      <c r="R343" s="15"/>
      <c r="S343" s="15"/>
      <c r="T343" s="15"/>
      <c r="U343" s="15"/>
      <c r="V343" s="17"/>
      <c r="Y343" s="14"/>
    </row>
    <row r="344">
      <c r="Q344" s="14"/>
      <c r="R344" s="15"/>
      <c r="S344" s="15"/>
      <c r="T344" s="15"/>
      <c r="U344" s="15"/>
      <c r="V344" s="17"/>
      <c r="Y344" s="14"/>
    </row>
    <row r="345">
      <c r="Q345" s="14"/>
      <c r="R345" s="15"/>
      <c r="S345" s="15"/>
      <c r="T345" s="15"/>
      <c r="U345" s="15"/>
      <c r="V345" s="17"/>
      <c r="Y345" s="14"/>
    </row>
    <row r="346">
      <c r="Q346" s="14"/>
      <c r="R346" s="15"/>
      <c r="S346" s="15"/>
      <c r="T346" s="15"/>
      <c r="U346" s="15"/>
      <c r="V346" s="17"/>
      <c r="Y346" s="14"/>
    </row>
    <row r="347">
      <c r="Q347" s="14"/>
      <c r="R347" s="15"/>
      <c r="S347" s="15"/>
      <c r="T347" s="15"/>
      <c r="U347" s="15"/>
      <c r="V347" s="17"/>
      <c r="Y347" s="14"/>
    </row>
    <row r="348">
      <c r="Q348" s="14"/>
      <c r="R348" s="15"/>
      <c r="S348" s="15"/>
      <c r="T348" s="15"/>
      <c r="U348" s="15"/>
      <c r="V348" s="17"/>
      <c r="Y348" s="14"/>
    </row>
    <row r="349">
      <c r="Q349" s="14"/>
      <c r="R349" s="15"/>
      <c r="S349" s="15"/>
      <c r="T349" s="15"/>
      <c r="U349" s="15"/>
      <c r="V349" s="17"/>
      <c r="Y349" s="14"/>
    </row>
    <row r="350">
      <c r="Q350" s="14"/>
      <c r="R350" s="15"/>
      <c r="S350" s="15"/>
      <c r="T350" s="15"/>
      <c r="U350" s="15"/>
      <c r="V350" s="17"/>
      <c r="Y350" s="14"/>
    </row>
    <row r="351">
      <c r="Q351" s="14"/>
      <c r="R351" s="15"/>
      <c r="S351" s="15"/>
      <c r="T351" s="15"/>
      <c r="U351" s="15"/>
      <c r="V351" s="17"/>
      <c r="Y351" s="14"/>
    </row>
    <row r="352">
      <c r="Q352" s="14"/>
      <c r="R352" s="15"/>
      <c r="S352" s="15"/>
      <c r="T352" s="15"/>
      <c r="U352" s="15"/>
      <c r="V352" s="17"/>
      <c r="Y352" s="14"/>
    </row>
    <row r="353">
      <c r="Q353" s="14"/>
      <c r="R353" s="15"/>
      <c r="S353" s="15"/>
      <c r="T353" s="15"/>
      <c r="U353" s="15"/>
      <c r="V353" s="17"/>
      <c r="Y353" s="14"/>
    </row>
    <row r="354">
      <c r="Q354" s="14"/>
      <c r="R354" s="15"/>
      <c r="S354" s="15"/>
      <c r="T354" s="15"/>
      <c r="U354" s="15"/>
      <c r="V354" s="17"/>
      <c r="Y354" s="14"/>
    </row>
    <row r="355">
      <c r="Q355" s="14"/>
      <c r="R355" s="15"/>
      <c r="S355" s="15"/>
      <c r="T355" s="15"/>
      <c r="U355" s="15"/>
      <c r="V355" s="17"/>
      <c r="Y355" s="14"/>
    </row>
    <row r="356">
      <c r="Q356" s="14"/>
      <c r="R356" s="15"/>
      <c r="S356" s="15"/>
      <c r="T356" s="15"/>
      <c r="U356" s="15"/>
      <c r="V356" s="17"/>
      <c r="Y356" s="14"/>
    </row>
    <row r="357">
      <c r="Q357" s="14"/>
      <c r="R357" s="15"/>
      <c r="S357" s="15"/>
      <c r="T357" s="15"/>
      <c r="U357" s="15"/>
      <c r="V357" s="17"/>
      <c r="Y357" s="14"/>
    </row>
    <row r="358">
      <c r="Q358" s="14"/>
      <c r="R358" s="15"/>
      <c r="S358" s="15"/>
      <c r="T358" s="15"/>
      <c r="U358" s="15"/>
      <c r="V358" s="17"/>
      <c r="Y358" s="14"/>
    </row>
    <row r="359">
      <c r="Q359" s="14"/>
      <c r="R359" s="15"/>
      <c r="S359" s="15"/>
      <c r="T359" s="15"/>
      <c r="U359" s="15"/>
      <c r="V359" s="17"/>
      <c r="Y359" s="14"/>
    </row>
    <row r="360">
      <c r="Q360" s="14"/>
      <c r="R360" s="15"/>
      <c r="S360" s="15"/>
      <c r="T360" s="15"/>
      <c r="U360" s="15"/>
      <c r="V360" s="17"/>
      <c r="Y360" s="14"/>
    </row>
    <row r="361">
      <c r="Q361" s="14"/>
      <c r="R361" s="15"/>
      <c r="S361" s="15"/>
      <c r="T361" s="15"/>
      <c r="U361" s="15"/>
      <c r="V361" s="17"/>
      <c r="Y361" s="14"/>
    </row>
    <row r="362">
      <c r="Q362" s="14"/>
      <c r="R362" s="15"/>
      <c r="S362" s="15"/>
      <c r="T362" s="15"/>
      <c r="U362" s="15"/>
      <c r="V362" s="17"/>
      <c r="Y362" s="14"/>
    </row>
    <row r="363">
      <c r="Q363" s="14"/>
      <c r="R363" s="15"/>
      <c r="S363" s="15"/>
      <c r="T363" s="15"/>
      <c r="U363" s="15"/>
      <c r="V363" s="17"/>
      <c r="Y363" s="14"/>
    </row>
    <row r="364">
      <c r="Q364" s="14"/>
      <c r="R364" s="15"/>
      <c r="S364" s="15"/>
      <c r="T364" s="15"/>
      <c r="U364" s="15"/>
      <c r="V364" s="17"/>
      <c r="Y364" s="14"/>
    </row>
    <row r="365">
      <c r="Q365" s="14"/>
      <c r="R365" s="15"/>
      <c r="S365" s="15"/>
      <c r="T365" s="15"/>
      <c r="U365" s="15"/>
      <c r="V365" s="17"/>
      <c r="Y365" s="14"/>
    </row>
    <row r="366">
      <c r="Q366" s="14"/>
      <c r="R366" s="15"/>
      <c r="S366" s="15"/>
      <c r="T366" s="15"/>
      <c r="U366" s="15"/>
      <c r="V366" s="17"/>
      <c r="Y366" s="14"/>
    </row>
    <row r="367">
      <c r="Q367" s="14"/>
      <c r="R367" s="15"/>
      <c r="S367" s="15"/>
      <c r="T367" s="15"/>
      <c r="U367" s="15"/>
      <c r="V367" s="17"/>
      <c r="Y367" s="14"/>
    </row>
    <row r="368">
      <c r="Q368" s="14"/>
      <c r="R368" s="15"/>
      <c r="S368" s="15"/>
      <c r="T368" s="15"/>
      <c r="U368" s="15"/>
      <c r="V368" s="17"/>
      <c r="Y368" s="14"/>
    </row>
    <row r="369">
      <c r="Q369" s="14"/>
      <c r="R369" s="15"/>
      <c r="S369" s="15"/>
      <c r="T369" s="15"/>
      <c r="U369" s="15"/>
      <c r="V369" s="17"/>
      <c r="Y369" s="14"/>
    </row>
    <row r="370">
      <c r="Q370" s="14"/>
      <c r="R370" s="15"/>
      <c r="S370" s="15"/>
      <c r="T370" s="15"/>
      <c r="U370" s="15"/>
      <c r="V370" s="17"/>
      <c r="Y370" s="14"/>
    </row>
    <row r="371">
      <c r="Q371" s="14"/>
      <c r="R371" s="15"/>
      <c r="S371" s="15"/>
      <c r="T371" s="15"/>
      <c r="U371" s="15"/>
      <c r="V371" s="17"/>
      <c r="Y371" s="14"/>
    </row>
    <row r="372">
      <c r="Q372" s="14"/>
      <c r="R372" s="15"/>
      <c r="S372" s="15"/>
      <c r="T372" s="15"/>
      <c r="U372" s="15"/>
      <c r="V372" s="17"/>
      <c r="Y372" s="14"/>
    </row>
    <row r="373">
      <c r="Q373" s="14"/>
      <c r="R373" s="15"/>
      <c r="S373" s="15"/>
      <c r="T373" s="15"/>
      <c r="U373" s="15"/>
      <c r="V373" s="17"/>
      <c r="Y373" s="14"/>
    </row>
    <row r="374">
      <c r="Q374" s="14"/>
      <c r="R374" s="15"/>
      <c r="S374" s="15"/>
      <c r="T374" s="15"/>
      <c r="U374" s="15"/>
      <c r="V374" s="17"/>
      <c r="Y374" s="14"/>
    </row>
    <row r="375">
      <c r="Q375" s="14"/>
      <c r="R375" s="15"/>
      <c r="S375" s="15"/>
      <c r="T375" s="15"/>
      <c r="U375" s="15"/>
      <c r="V375" s="17"/>
      <c r="Y375" s="14"/>
    </row>
    <row r="376">
      <c r="Q376" s="14"/>
      <c r="R376" s="15"/>
      <c r="S376" s="15"/>
      <c r="T376" s="15"/>
      <c r="U376" s="15"/>
      <c r="V376" s="17"/>
      <c r="Y376" s="14"/>
    </row>
    <row r="377">
      <c r="Q377" s="14"/>
      <c r="R377" s="15"/>
      <c r="S377" s="15"/>
      <c r="T377" s="15"/>
      <c r="U377" s="15"/>
      <c r="V377" s="17"/>
      <c r="Y377" s="14"/>
    </row>
    <row r="378">
      <c r="Q378" s="14"/>
      <c r="R378" s="15"/>
      <c r="S378" s="15"/>
      <c r="T378" s="15"/>
      <c r="U378" s="15"/>
      <c r="V378" s="17"/>
      <c r="Y378" s="14"/>
    </row>
    <row r="379">
      <c r="Q379" s="14"/>
      <c r="R379" s="15"/>
      <c r="S379" s="15"/>
      <c r="T379" s="15"/>
      <c r="U379" s="15"/>
      <c r="V379" s="17"/>
      <c r="Y379" s="14"/>
    </row>
    <row r="380">
      <c r="Q380" s="14"/>
      <c r="R380" s="15"/>
      <c r="S380" s="15"/>
      <c r="T380" s="15"/>
      <c r="U380" s="15"/>
      <c r="V380" s="17"/>
      <c r="Y380" s="14"/>
    </row>
    <row r="381">
      <c r="Q381" s="14"/>
      <c r="R381" s="15"/>
      <c r="S381" s="15"/>
      <c r="T381" s="15"/>
      <c r="U381" s="15"/>
      <c r="V381" s="17"/>
      <c r="Y381" s="14"/>
    </row>
    <row r="382">
      <c r="Q382" s="14"/>
      <c r="R382" s="15"/>
      <c r="S382" s="15"/>
      <c r="T382" s="15"/>
      <c r="U382" s="15"/>
      <c r="V382" s="17"/>
      <c r="Y382" s="14"/>
    </row>
    <row r="383">
      <c r="Q383" s="14"/>
      <c r="R383" s="15"/>
      <c r="S383" s="15"/>
      <c r="T383" s="15"/>
      <c r="U383" s="15"/>
      <c r="V383" s="17"/>
      <c r="Y383" s="14"/>
    </row>
    <row r="384">
      <c r="Q384" s="14"/>
      <c r="R384" s="15"/>
      <c r="S384" s="15"/>
      <c r="T384" s="15"/>
      <c r="U384" s="15"/>
      <c r="V384" s="17"/>
      <c r="Y384" s="14"/>
    </row>
    <row r="385">
      <c r="Q385" s="14"/>
      <c r="R385" s="15"/>
      <c r="S385" s="15"/>
      <c r="T385" s="15"/>
      <c r="U385" s="15"/>
      <c r="V385" s="17"/>
      <c r="Y385" s="14"/>
    </row>
    <row r="386">
      <c r="Q386" s="14"/>
      <c r="R386" s="15"/>
      <c r="S386" s="15"/>
      <c r="T386" s="15"/>
      <c r="U386" s="15"/>
      <c r="V386" s="17"/>
      <c r="Y386" s="14"/>
    </row>
    <row r="387">
      <c r="Q387" s="14"/>
      <c r="R387" s="15"/>
      <c r="S387" s="15"/>
      <c r="T387" s="15"/>
      <c r="U387" s="15"/>
      <c r="V387" s="17"/>
      <c r="Y387" s="14"/>
    </row>
    <row r="388">
      <c r="Q388" s="14"/>
      <c r="R388" s="15"/>
      <c r="S388" s="15"/>
      <c r="T388" s="15"/>
      <c r="U388" s="15"/>
      <c r="V388" s="17"/>
      <c r="Y388" s="14"/>
    </row>
    <row r="389">
      <c r="Q389" s="14"/>
      <c r="R389" s="15"/>
      <c r="S389" s="15"/>
      <c r="T389" s="15"/>
      <c r="U389" s="15"/>
      <c r="V389" s="17"/>
      <c r="Y389" s="14"/>
    </row>
    <row r="390">
      <c r="Q390" s="14"/>
      <c r="R390" s="15"/>
      <c r="S390" s="15"/>
      <c r="T390" s="15"/>
      <c r="U390" s="15"/>
      <c r="V390" s="17"/>
      <c r="Y390" s="14"/>
    </row>
    <row r="391">
      <c r="Q391" s="14"/>
      <c r="R391" s="15"/>
      <c r="S391" s="15"/>
      <c r="T391" s="15"/>
      <c r="U391" s="15"/>
      <c r="V391" s="17"/>
      <c r="Y391" s="14"/>
    </row>
    <row r="392">
      <c r="Q392" s="14"/>
      <c r="R392" s="15"/>
      <c r="S392" s="15"/>
      <c r="T392" s="15"/>
      <c r="U392" s="15"/>
      <c r="V392" s="17"/>
      <c r="Y392" s="14"/>
    </row>
    <row r="393">
      <c r="Q393" s="14"/>
      <c r="R393" s="15"/>
      <c r="S393" s="15"/>
      <c r="T393" s="15"/>
      <c r="U393" s="15"/>
      <c r="V393" s="17"/>
      <c r="Y393" s="14"/>
    </row>
    <row r="394">
      <c r="Q394" s="14"/>
      <c r="R394" s="15"/>
      <c r="S394" s="15"/>
      <c r="T394" s="15"/>
      <c r="U394" s="15"/>
      <c r="V394" s="17"/>
      <c r="Y394" s="14"/>
    </row>
    <row r="395">
      <c r="Q395" s="14"/>
      <c r="R395" s="15"/>
      <c r="S395" s="15"/>
      <c r="T395" s="15"/>
      <c r="U395" s="15"/>
      <c r="V395" s="17"/>
      <c r="Y395" s="14"/>
    </row>
    <row r="396">
      <c r="Q396" s="14"/>
      <c r="R396" s="15"/>
      <c r="S396" s="15"/>
      <c r="T396" s="15"/>
      <c r="U396" s="15"/>
      <c r="V396" s="17"/>
      <c r="Y396" s="14"/>
    </row>
    <row r="397">
      <c r="Q397" s="14"/>
      <c r="R397" s="15"/>
      <c r="S397" s="15"/>
      <c r="T397" s="15"/>
      <c r="U397" s="15"/>
      <c r="V397" s="17"/>
      <c r="Y397" s="14"/>
    </row>
    <row r="398">
      <c r="Q398" s="14"/>
      <c r="R398" s="15"/>
      <c r="S398" s="15"/>
      <c r="T398" s="15"/>
      <c r="U398" s="15"/>
      <c r="V398" s="17"/>
      <c r="Y398" s="14"/>
    </row>
    <row r="399">
      <c r="Q399" s="14"/>
      <c r="R399" s="15"/>
      <c r="S399" s="15"/>
      <c r="T399" s="15"/>
      <c r="U399" s="15"/>
      <c r="V399" s="17"/>
      <c r="Y399" s="14"/>
    </row>
    <row r="400">
      <c r="Q400" s="14"/>
      <c r="R400" s="15"/>
      <c r="S400" s="15"/>
      <c r="T400" s="15"/>
      <c r="U400" s="15"/>
      <c r="V400" s="17"/>
      <c r="Y400" s="14"/>
    </row>
    <row r="401">
      <c r="Q401" s="14"/>
      <c r="R401" s="15"/>
      <c r="S401" s="15"/>
      <c r="T401" s="15"/>
      <c r="U401" s="15"/>
      <c r="V401" s="17"/>
      <c r="Y401" s="14"/>
    </row>
    <row r="402">
      <c r="Q402" s="14"/>
      <c r="R402" s="15"/>
      <c r="S402" s="15"/>
      <c r="T402" s="15"/>
      <c r="U402" s="15"/>
      <c r="V402" s="17"/>
      <c r="Y402" s="14"/>
    </row>
    <row r="403">
      <c r="Q403" s="14"/>
      <c r="R403" s="15"/>
      <c r="S403" s="15"/>
      <c r="T403" s="15"/>
      <c r="U403" s="15"/>
      <c r="V403" s="17"/>
      <c r="Y403" s="14"/>
    </row>
    <row r="404">
      <c r="Q404" s="14"/>
      <c r="R404" s="15"/>
      <c r="S404" s="15"/>
      <c r="T404" s="15"/>
      <c r="U404" s="15"/>
      <c r="V404" s="17"/>
      <c r="Y404" s="14"/>
    </row>
    <row r="405">
      <c r="Q405" s="14"/>
      <c r="R405" s="15"/>
      <c r="S405" s="15"/>
      <c r="T405" s="15"/>
      <c r="U405" s="15"/>
      <c r="V405" s="17"/>
      <c r="Y405" s="14"/>
    </row>
    <row r="406">
      <c r="Q406" s="14"/>
      <c r="R406" s="15"/>
      <c r="S406" s="15"/>
      <c r="T406" s="15"/>
      <c r="U406" s="15"/>
      <c r="V406" s="17"/>
      <c r="Y406" s="14"/>
    </row>
    <row r="407">
      <c r="Q407" s="14"/>
      <c r="R407" s="15"/>
      <c r="S407" s="15"/>
      <c r="T407" s="15"/>
      <c r="U407" s="15"/>
      <c r="V407" s="17"/>
      <c r="Y407" s="14"/>
    </row>
    <row r="408">
      <c r="Q408" s="14"/>
      <c r="R408" s="15"/>
      <c r="S408" s="15"/>
      <c r="T408" s="15"/>
      <c r="U408" s="15"/>
      <c r="V408" s="17"/>
      <c r="Y408" s="14"/>
    </row>
    <row r="409">
      <c r="Q409" s="14"/>
      <c r="R409" s="15"/>
      <c r="S409" s="15"/>
      <c r="T409" s="15"/>
      <c r="U409" s="15"/>
      <c r="V409" s="17"/>
      <c r="Y409" s="14"/>
    </row>
    <row r="410">
      <c r="Q410" s="14"/>
      <c r="R410" s="15"/>
      <c r="S410" s="15"/>
      <c r="T410" s="15"/>
      <c r="U410" s="15"/>
      <c r="V410" s="17"/>
      <c r="Y410" s="14"/>
    </row>
    <row r="411">
      <c r="Q411" s="14"/>
      <c r="R411" s="15"/>
      <c r="S411" s="15"/>
      <c r="T411" s="15"/>
      <c r="U411" s="15"/>
      <c r="V411" s="17"/>
      <c r="Y411" s="14"/>
    </row>
    <row r="412">
      <c r="Q412" s="14"/>
      <c r="R412" s="15"/>
      <c r="S412" s="15"/>
      <c r="T412" s="15"/>
      <c r="U412" s="15"/>
      <c r="V412" s="17"/>
      <c r="Y412" s="14"/>
    </row>
    <row r="413">
      <c r="Q413" s="14"/>
      <c r="R413" s="15"/>
      <c r="S413" s="15"/>
      <c r="T413" s="15"/>
      <c r="U413" s="15"/>
      <c r="V413" s="17"/>
      <c r="Y413" s="14"/>
    </row>
    <row r="414">
      <c r="Q414" s="14"/>
      <c r="R414" s="15"/>
      <c r="S414" s="15"/>
      <c r="T414" s="15"/>
      <c r="U414" s="15"/>
      <c r="V414" s="17"/>
      <c r="Y414" s="14"/>
    </row>
    <row r="415">
      <c r="Q415" s="14"/>
      <c r="R415" s="15"/>
      <c r="S415" s="15"/>
      <c r="T415" s="15"/>
      <c r="U415" s="15"/>
      <c r="V415" s="17"/>
      <c r="Y415" s="14"/>
    </row>
    <row r="416">
      <c r="Q416" s="14"/>
      <c r="R416" s="15"/>
      <c r="S416" s="15"/>
      <c r="T416" s="15"/>
      <c r="U416" s="15"/>
      <c r="V416" s="17"/>
      <c r="Y416" s="14"/>
    </row>
    <row r="417">
      <c r="Q417" s="14"/>
      <c r="R417" s="15"/>
      <c r="S417" s="15"/>
      <c r="T417" s="15"/>
      <c r="U417" s="15"/>
      <c r="V417" s="17"/>
      <c r="Y417" s="14"/>
    </row>
    <row r="418">
      <c r="Q418" s="14"/>
      <c r="R418" s="15"/>
      <c r="S418" s="15"/>
      <c r="T418" s="15"/>
      <c r="U418" s="15"/>
      <c r="V418" s="17"/>
      <c r="Y418" s="14"/>
    </row>
    <row r="419">
      <c r="Q419" s="14"/>
      <c r="R419" s="15"/>
      <c r="S419" s="15"/>
      <c r="T419" s="15"/>
      <c r="U419" s="15"/>
      <c r="V419" s="17"/>
      <c r="Y419" s="14"/>
    </row>
    <row r="420">
      <c r="Q420" s="14"/>
      <c r="R420" s="15"/>
      <c r="S420" s="15"/>
      <c r="T420" s="15"/>
      <c r="U420" s="15"/>
      <c r="V420" s="17"/>
      <c r="Y420" s="14"/>
    </row>
    <row r="421">
      <c r="Q421" s="14"/>
      <c r="R421" s="15"/>
      <c r="S421" s="15"/>
      <c r="T421" s="15"/>
      <c r="U421" s="15"/>
      <c r="V421" s="17"/>
      <c r="Y421" s="14"/>
    </row>
    <row r="422">
      <c r="Q422" s="14"/>
      <c r="R422" s="15"/>
      <c r="S422" s="15"/>
      <c r="T422" s="15"/>
      <c r="U422" s="15"/>
      <c r="V422" s="17"/>
      <c r="Y422" s="14"/>
    </row>
    <row r="423">
      <c r="Q423" s="14"/>
      <c r="R423" s="15"/>
      <c r="S423" s="15"/>
      <c r="T423" s="15"/>
      <c r="U423" s="15"/>
      <c r="V423" s="17"/>
      <c r="Y423" s="14"/>
    </row>
    <row r="424">
      <c r="Q424" s="14"/>
      <c r="R424" s="15"/>
      <c r="S424" s="15"/>
      <c r="T424" s="15"/>
      <c r="U424" s="15"/>
      <c r="V424" s="17"/>
      <c r="Y424" s="14"/>
    </row>
    <row r="425">
      <c r="Q425" s="14"/>
      <c r="R425" s="15"/>
      <c r="S425" s="15"/>
      <c r="T425" s="15"/>
      <c r="U425" s="15"/>
      <c r="V425" s="17"/>
      <c r="Y425" s="14"/>
    </row>
    <row r="426">
      <c r="Q426" s="14"/>
      <c r="R426" s="15"/>
      <c r="S426" s="15"/>
      <c r="T426" s="15"/>
      <c r="U426" s="15"/>
      <c r="V426" s="17"/>
      <c r="Y426" s="14"/>
    </row>
    <row r="427">
      <c r="Q427" s="14"/>
      <c r="R427" s="15"/>
      <c r="S427" s="15"/>
      <c r="T427" s="15"/>
      <c r="U427" s="15"/>
      <c r="V427" s="17"/>
      <c r="Y427" s="14"/>
    </row>
    <row r="428">
      <c r="Q428" s="14"/>
      <c r="R428" s="15"/>
      <c r="S428" s="15"/>
      <c r="T428" s="15"/>
      <c r="U428" s="15"/>
      <c r="V428" s="17"/>
      <c r="Y428" s="14"/>
    </row>
    <row r="429">
      <c r="Q429" s="14"/>
      <c r="R429" s="15"/>
      <c r="S429" s="15"/>
      <c r="T429" s="15"/>
      <c r="U429" s="15"/>
      <c r="V429" s="17"/>
      <c r="Y429" s="14"/>
    </row>
    <row r="430">
      <c r="Q430" s="14"/>
      <c r="R430" s="15"/>
      <c r="S430" s="15"/>
      <c r="T430" s="15"/>
      <c r="U430" s="15"/>
      <c r="V430" s="17"/>
      <c r="Y430" s="14"/>
    </row>
    <row r="431">
      <c r="Q431" s="14"/>
      <c r="R431" s="15"/>
      <c r="S431" s="15"/>
      <c r="T431" s="15"/>
      <c r="U431" s="15"/>
      <c r="V431" s="17"/>
      <c r="Y431" s="14"/>
    </row>
    <row r="432">
      <c r="Q432" s="14"/>
      <c r="R432" s="15"/>
      <c r="S432" s="15"/>
      <c r="T432" s="15"/>
      <c r="U432" s="15"/>
      <c r="V432" s="17"/>
      <c r="Y432" s="14"/>
    </row>
    <row r="433">
      <c r="Q433" s="14"/>
      <c r="R433" s="15"/>
      <c r="S433" s="15"/>
      <c r="T433" s="15"/>
      <c r="U433" s="15"/>
      <c r="V433" s="17"/>
      <c r="Y433" s="14"/>
    </row>
    <row r="434">
      <c r="Q434" s="14"/>
      <c r="R434" s="15"/>
      <c r="S434" s="15"/>
      <c r="T434" s="15"/>
      <c r="U434" s="15"/>
      <c r="V434" s="17"/>
      <c r="Y434" s="14"/>
    </row>
    <row r="435">
      <c r="Q435" s="14"/>
      <c r="R435" s="15"/>
      <c r="S435" s="15"/>
      <c r="T435" s="15"/>
      <c r="U435" s="15"/>
      <c r="V435" s="17"/>
      <c r="Y435" s="14"/>
    </row>
    <row r="436">
      <c r="Q436" s="14"/>
      <c r="R436" s="15"/>
      <c r="S436" s="15"/>
      <c r="T436" s="15"/>
      <c r="U436" s="15"/>
      <c r="V436" s="17"/>
      <c r="Y436" s="14"/>
    </row>
    <row r="437">
      <c r="Q437" s="14"/>
      <c r="R437" s="15"/>
      <c r="S437" s="15"/>
      <c r="T437" s="15"/>
      <c r="U437" s="15"/>
      <c r="V437" s="17"/>
      <c r="Y437" s="14"/>
    </row>
    <row r="438">
      <c r="Q438" s="14"/>
      <c r="R438" s="15"/>
      <c r="S438" s="15"/>
      <c r="T438" s="15"/>
      <c r="U438" s="15"/>
      <c r="V438" s="17"/>
      <c r="Y438" s="14"/>
    </row>
    <row r="439">
      <c r="Q439" s="14"/>
      <c r="R439" s="15"/>
      <c r="S439" s="15"/>
      <c r="T439" s="15"/>
      <c r="U439" s="15"/>
      <c r="V439" s="17"/>
      <c r="Y439" s="14"/>
    </row>
    <row r="440">
      <c r="Q440" s="14"/>
      <c r="R440" s="15"/>
      <c r="S440" s="15"/>
      <c r="T440" s="15"/>
      <c r="U440" s="15"/>
      <c r="V440" s="17"/>
      <c r="Y440" s="14"/>
    </row>
    <row r="441">
      <c r="Q441" s="14"/>
      <c r="R441" s="15"/>
      <c r="S441" s="15"/>
      <c r="T441" s="15"/>
      <c r="U441" s="15"/>
      <c r="V441" s="17"/>
      <c r="Y441" s="14"/>
    </row>
    <row r="442">
      <c r="Q442" s="14"/>
      <c r="R442" s="15"/>
      <c r="S442" s="15"/>
      <c r="T442" s="15"/>
      <c r="U442" s="15"/>
      <c r="V442" s="17"/>
      <c r="Y442" s="14"/>
    </row>
    <row r="443">
      <c r="Q443" s="14"/>
      <c r="R443" s="15"/>
      <c r="S443" s="15"/>
      <c r="T443" s="15"/>
      <c r="U443" s="15"/>
      <c r="V443" s="17"/>
      <c r="Y443" s="14"/>
    </row>
    <row r="444">
      <c r="Q444" s="14"/>
      <c r="R444" s="15"/>
      <c r="S444" s="15"/>
      <c r="T444" s="15"/>
      <c r="U444" s="15"/>
      <c r="V444" s="17"/>
      <c r="Y444" s="14"/>
    </row>
    <row r="445">
      <c r="Q445" s="14"/>
      <c r="R445" s="15"/>
      <c r="S445" s="15"/>
      <c r="T445" s="15"/>
      <c r="U445" s="15"/>
      <c r="V445" s="17"/>
      <c r="Y445" s="14"/>
    </row>
    <row r="446">
      <c r="Q446" s="14"/>
      <c r="R446" s="15"/>
      <c r="S446" s="15"/>
      <c r="T446" s="15"/>
      <c r="U446" s="15"/>
      <c r="V446" s="17"/>
      <c r="Y446" s="14"/>
    </row>
    <row r="447">
      <c r="Q447" s="14"/>
      <c r="R447" s="15"/>
      <c r="S447" s="15"/>
      <c r="T447" s="15"/>
      <c r="U447" s="15"/>
      <c r="V447" s="17"/>
      <c r="Y447" s="14"/>
    </row>
    <row r="448">
      <c r="Q448" s="14"/>
      <c r="R448" s="15"/>
      <c r="S448" s="15"/>
      <c r="T448" s="15"/>
      <c r="U448" s="15"/>
      <c r="V448" s="17"/>
      <c r="Y448" s="14"/>
    </row>
    <row r="449">
      <c r="Q449" s="14"/>
      <c r="R449" s="15"/>
      <c r="S449" s="15"/>
      <c r="T449" s="15"/>
      <c r="U449" s="15"/>
      <c r="V449" s="17"/>
      <c r="Y449" s="14"/>
    </row>
    <row r="450">
      <c r="Q450" s="14"/>
      <c r="R450" s="15"/>
      <c r="S450" s="15"/>
      <c r="T450" s="15"/>
      <c r="U450" s="15"/>
      <c r="V450" s="17"/>
      <c r="Y450" s="14"/>
    </row>
    <row r="451">
      <c r="Q451" s="14"/>
      <c r="R451" s="15"/>
      <c r="S451" s="15"/>
      <c r="T451" s="15"/>
      <c r="U451" s="15"/>
      <c r="V451" s="17"/>
      <c r="Y451" s="14"/>
    </row>
    <row r="452">
      <c r="Q452" s="14"/>
      <c r="R452" s="15"/>
      <c r="S452" s="15"/>
      <c r="T452" s="15"/>
      <c r="U452" s="15"/>
      <c r="V452" s="17"/>
      <c r="Y452" s="14"/>
    </row>
    <row r="453">
      <c r="Q453" s="14"/>
      <c r="R453" s="15"/>
      <c r="S453" s="15"/>
      <c r="T453" s="15"/>
      <c r="U453" s="15"/>
      <c r="V453" s="17"/>
      <c r="Y453" s="14"/>
    </row>
    <row r="454">
      <c r="Q454" s="14"/>
      <c r="R454" s="15"/>
      <c r="S454" s="15"/>
      <c r="T454" s="15"/>
      <c r="U454" s="15"/>
      <c r="V454" s="17"/>
      <c r="Y454" s="14"/>
    </row>
    <row r="455">
      <c r="Q455" s="14"/>
      <c r="R455" s="15"/>
      <c r="S455" s="15"/>
      <c r="T455" s="15"/>
      <c r="U455" s="15"/>
      <c r="V455" s="17"/>
      <c r="Y455" s="14"/>
    </row>
    <row r="456">
      <c r="Q456" s="14"/>
      <c r="R456" s="15"/>
      <c r="S456" s="15"/>
      <c r="T456" s="15"/>
      <c r="U456" s="15"/>
      <c r="V456" s="17"/>
      <c r="Y456" s="14"/>
    </row>
    <row r="457">
      <c r="Q457" s="14"/>
      <c r="R457" s="15"/>
      <c r="S457" s="15"/>
      <c r="T457" s="15"/>
      <c r="U457" s="15"/>
      <c r="V457" s="17"/>
      <c r="Y457" s="14"/>
    </row>
    <row r="458">
      <c r="Q458" s="14"/>
      <c r="R458" s="15"/>
      <c r="S458" s="15"/>
      <c r="T458" s="15"/>
      <c r="U458" s="15"/>
      <c r="V458" s="17"/>
      <c r="Y458" s="14"/>
    </row>
    <row r="459">
      <c r="Q459" s="14"/>
      <c r="R459" s="15"/>
      <c r="S459" s="15"/>
      <c r="T459" s="15"/>
      <c r="U459" s="15"/>
      <c r="V459" s="17"/>
      <c r="Y459" s="14"/>
    </row>
    <row r="460">
      <c r="Q460" s="14"/>
      <c r="R460" s="15"/>
      <c r="S460" s="15"/>
      <c r="T460" s="15"/>
      <c r="U460" s="15"/>
      <c r="V460" s="17"/>
      <c r="Y460" s="14"/>
    </row>
    <row r="461">
      <c r="Q461" s="14"/>
      <c r="R461" s="15"/>
      <c r="S461" s="15"/>
      <c r="T461" s="15"/>
      <c r="U461" s="15"/>
      <c r="V461" s="17"/>
      <c r="Y461" s="14"/>
    </row>
    <row r="462">
      <c r="Q462" s="14"/>
      <c r="R462" s="15"/>
      <c r="S462" s="15"/>
      <c r="T462" s="15"/>
      <c r="U462" s="15"/>
      <c r="V462" s="17"/>
      <c r="Y462" s="14"/>
    </row>
    <row r="463">
      <c r="Q463" s="14"/>
      <c r="R463" s="15"/>
      <c r="S463" s="15"/>
      <c r="T463" s="15"/>
      <c r="U463" s="15"/>
      <c r="V463" s="17"/>
      <c r="Y463" s="14"/>
    </row>
    <row r="464">
      <c r="Q464" s="14"/>
      <c r="R464" s="15"/>
      <c r="S464" s="15"/>
      <c r="T464" s="15"/>
      <c r="U464" s="15"/>
      <c r="V464" s="17"/>
      <c r="Y464" s="14"/>
    </row>
    <row r="465">
      <c r="Q465" s="14"/>
      <c r="R465" s="15"/>
      <c r="S465" s="15"/>
      <c r="T465" s="15"/>
      <c r="U465" s="15"/>
      <c r="V465" s="17"/>
      <c r="Y465" s="14"/>
    </row>
    <row r="466">
      <c r="Q466" s="14"/>
      <c r="R466" s="15"/>
      <c r="S466" s="15"/>
      <c r="T466" s="15"/>
      <c r="U466" s="15"/>
      <c r="V466" s="17"/>
      <c r="Y466" s="14"/>
    </row>
    <row r="467">
      <c r="Q467" s="14"/>
      <c r="R467" s="15"/>
      <c r="S467" s="15"/>
      <c r="T467" s="15"/>
      <c r="U467" s="15"/>
      <c r="V467" s="17"/>
      <c r="Y467" s="14"/>
    </row>
    <row r="468">
      <c r="Q468" s="14"/>
      <c r="R468" s="15"/>
      <c r="S468" s="15"/>
      <c r="T468" s="15"/>
      <c r="U468" s="15"/>
      <c r="V468" s="17"/>
      <c r="Y468" s="14"/>
    </row>
    <row r="469">
      <c r="Q469" s="14"/>
      <c r="R469" s="15"/>
      <c r="S469" s="15"/>
      <c r="T469" s="15"/>
      <c r="U469" s="15"/>
      <c r="V469" s="17"/>
      <c r="Y469" s="14"/>
    </row>
    <row r="470">
      <c r="Q470" s="14"/>
      <c r="R470" s="15"/>
      <c r="S470" s="15"/>
      <c r="T470" s="15"/>
      <c r="U470" s="15"/>
      <c r="V470" s="17"/>
      <c r="Y470" s="14"/>
    </row>
    <row r="471">
      <c r="Q471" s="14"/>
      <c r="R471" s="15"/>
      <c r="S471" s="15"/>
      <c r="T471" s="15"/>
      <c r="U471" s="15"/>
      <c r="V471" s="17"/>
      <c r="Y471" s="14"/>
    </row>
    <row r="472">
      <c r="Q472" s="14"/>
      <c r="R472" s="15"/>
      <c r="S472" s="15"/>
      <c r="T472" s="15"/>
      <c r="U472" s="15"/>
      <c r="V472" s="17"/>
      <c r="Y472" s="14"/>
    </row>
    <row r="473">
      <c r="Q473" s="14"/>
      <c r="R473" s="15"/>
      <c r="S473" s="15"/>
      <c r="T473" s="15"/>
      <c r="U473" s="15"/>
      <c r="V473" s="17"/>
      <c r="Y473" s="14"/>
    </row>
    <row r="474">
      <c r="Q474" s="14"/>
      <c r="R474" s="15"/>
      <c r="S474" s="15"/>
      <c r="T474" s="15"/>
      <c r="U474" s="15"/>
      <c r="V474" s="17"/>
      <c r="Y474" s="14"/>
    </row>
    <row r="475">
      <c r="Q475" s="14"/>
      <c r="R475" s="15"/>
      <c r="S475" s="15"/>
      <c r="T475" s="15"/>
      <c r="U475" s="15"/>
      <c r="V475" s="17"/>
      <c r="Y475" s="14"/>
    </row>
    <row r="476">
      <c r="Q476" s="14"/>
      <c r="R476" s="15"/>
      <c r="S476" s="15"/>
      <c r="T476" s="15"/>
      <c r="U476" s="15"/>
      <c r="V476" s="17"/>
      <c r="Y476" s="14"/>
    </row>
    <row r="477">
      <c r="Q477" s="14"/>
      <c r="R477" s="15"/>
      <c r="S477" s="15"/>
      <c r="T477" s="15"/>
      <c r="U477" s="15"/>
      <c r="V477" s="17"/>
      <c r="Y477" s="14"/>
    </row>
    <row r="478">
      <c r="Q478" s="14"/>
      <c r="R478" s="15"/>
      <c r="S478" s="15"/>
      <c r="T478" s="15"/>
      <c r="U478" s="15"/>
      <c r="V478" s="17"/>
      <c r="Y478" s="14"/>
    </row>
    <row r="479">
      <c r="Q479" s="14"/>
      <c r="R479" s="15"/>
      <c r="S479" s="15"/>
      <c r="T479" s="15"/>
      <c r="U479" s="15"/>
      <c r="V479" s="17"/>
      <c r="Y479" s="14"/>
    </row>
    <row r="480">
      <c r="Q480" s="14"/>
      <c r="R480" s="15"/>
      <c r="S480" s="15"/>
      <c r="T480" s="15"/>
      <c r="U480" s="15"/>
      <c r="V480" s="17"/>
      <c r="Y480" s="14"/>
    </row>
    <row r="481">
      <c r="Q481" s="14"/>
      <c r="R481" s="15"/>
      <c r="S481" s="15"/>
      <c r="T481" s="15"/>
      <c r="U481" s="15"/>
      <c r="V481" s="17"/>
      <c r="Y481" s="14"/>
    </row>
    <row r="482">
      <c r="Q482" s="14"/>
      <c r="R482" s="15"/>
      <c r="S482" s="15"/>
      <c r="T482" s="15"/>
      <c r="U482" s="15"/>
      <c r="V482" s="17"/>
      <c r="Y482" s="14"/>
    </row>
    <row r="483">
      <c r="Q483" s="14"/>
      <c r="R483" s="15"/>
      <c r="S483" s="15"/>
      <c r="T483" s="15"/>
      <c r="U483" s="15"/>
      <c r="V483" s="17"/>
      <c r="Y483" s="14"/>
    </row>
    <row r="484">
      <c r="Q484" s="14"/>
      <c r="R484" s="15"/>
      <c r="S484" s="15"/>
      <c r="T484" s="15"/>
      <c r="U484" s="15"/>
      <c r="V484" s="17"/>
      <c r="Y484" s="14"/>
    </row>
    <row r="485">
      <c r="Q485" s="14"/>
      <c r="R485" s="15"/>
      <c r="S485" s="15"/>
      <c r="T485" s="15"/>
      <c r="U485" s="15"/>
      <c r="V485" s="17"/>
      <c r="Y485" s="14"/>
    </row>
    <row r="486">
      <c r="Q486" s="14"/>
      <c r="R486" s="15"/>
      <c r="S486" s="15"/>
      <c r="T486" s="15"/>
      <c r="U486" s="15"/>
      <c r="V486" s="17"/>
      <c r="Y486" s="14"/>
    </row>
    <row r="487">
      <c r="Q487" s="14"/>
      <c r="R487" s="15"/>
      <c r="S487" s="15"/>
      <c r="T487" s="15"/>
      <c r="U487" s="15"/>
      <c r="V487" s="17"/>
      <c r="Y487" s="14"/>
    </row>
    <row r="488">
      <c r="Q488" s="14"/>
      <c r="R488" s="15"/>
      <c r="S488" s="15"/>
      <c r="T488" s="15"/>
      <c r="U488" s="15"/>
      <c r="V488" s="17"/>
      <c r="Y488" s="14"/>
    </row>
    <row r="489">
      <c r="Q489" s="14"/>
      <c r="R489" s="15"/>
      <c r="S489" s="15"/>
      <c r="T489" s="15"/>
      <c r="U489" s="15"/>
      <c r="V489" s="17"/>
      <c r="Y489" s="14"/>
    </row>
    <row r="490">
      <c r="Q490" s="14"/>
      <c r="R490" s="15"/>
      <c r="S490" s="15"/>
      <c r="T490" s="15"/>
      <c r="U490" s="15"/>
      <c r="V490" s="17"/>
      <c r="Y490" s="14"/>
    </row>
    <row r="491">
      <c r="Q491" s="14"/>
      <c r="R491" s="15"/>
      <c r="S491" s="15"/>
      <c r="T491" s="15"/>
      <c r="U491" s="15"/>
      <c r="V491" s="17"/>
      <c r="Y491" s="14"/>
    </row>
    <row r="492">
      <c r="Q492" s="14"/>
      <c r="R492" s="15"/>
      <c r="S492" s="15"/>
      <c r="T492" s="15"/>
      <c r="U492" s="15"/>
      <c r="V492" s="17"/>
      <c r="Y492" s="14"/>
    </row>
    <row r="493">
      <c r="Q493" s="14"/>
      <c r="R493" s="15"/>
      <c r="S493" s="15"/>
      <c r="T493" s="15"/>
      <c r="U493" s="15"/>
      <c r="V493" s="17"/>
      <c r="Y493" s="14"/>
    </row>
    <row r="494">
      <c r="Q494" s="14"/>
      <c r="R494" s="15"/>
      <c r="S494" s="15"/>
      <c r="T494" s="15"/>
      <c r="U494" s="15"/>
      <c r="V494" s="17"/>
      <c r="Y494" s="14"/>
    </row>
    <row r="495">
      <c r="Q495" s="14"/>
      <c r="R495" s="15"/>
      <c r="S495" s="15"/>
      <c r="T495" s="15"/>
      <c r="U495" s="15"/>
      <c r="V495" s="17"/>
      <c r="Y495" s="14"/>
    </row>
    <row r="496">
      <c r="Q496" s="14"/>
      <c r="R496" s="15"/>
      <c r="S496" s="15"/>
      <c r="T496" s="15"/>
      <c r="U496" s="15"/>
      <c r="V496" s="17"/>
      <c r="Y496" s="14"/>
    </row>
    <row r="497">
      <c r="Q497" s="14"/>
      <c r="R497" s="15"/>
      <c r="S497" s="15"/>
      <c r="T497" s="15"/>
      <c r="U497" s="15"/>
      <c r="V497" s="17"/>
      <c r="Y497" s="14"/>
    </row>
    <row r="498">
      <c r="Q498" s="14"/>
      <c r="R498" s="15"/>
      <c r="S498" s="15"/>
      <c r="T498" s="15"/>
      <c r="U498" s="15"/>
      <c r="V498" s="17"/>
      <c r="Y498" s="14"/>
    </row>
    <row r="499">
      <c r="Q499" s="14"/>
      <c r="R499" s="15"/>
      <c r="S499" s="15"/>
      <c r="T499" s="15"/>
      <c r="U499" s="15"/>
      <c r="V499" s="17"/>
      <c r="Y499" s="14"/>
    </row>
    <row r="500">
      <c r="Q500" s="14"/>
      <c r="R500" s="15"/>
      <c r="S500" s="15"/>
      <c r="T500" s="15"/>
      <c r="U500" s="15"/>
      <c r="V500" s="17"/>
      <c r="Y500" s="14"/>
    </row>
    <row r="501">
      <c r="Q501" s="14"/>
      <c r="R501" s="15"/>
      <c r="S501" s="15"/>
      <c r="T501" s="15"/>
      <c r="U501" s="15"/>
      <c r="V501" s="17"/>
      <c r="Y501" s="14"/>
    </row>
    <row r="502">
      <c r="Q502" s="14"/>
      <c r="R502" s="15"/>
      <c r="S502" s="15"/>
      <c r="T502" s="15"/>
      <c r="U502" s="15"/>
      <c r="V502" s="17"/>
      <c r="Y502" s="14"/>
    </row>
    <row r="503">
      <c r="Q503" s="14"/>
      <c r="R503" s="15"/>
      <c r="S503" s="15"/>
      <c r="T503" s="15"/>
      <c r="U503" s="15"/>
      <c r="V503" s="17"/>
      <c r="Y503" s="14"/>
    </row>
    <row r="504">
      <c r="Q504" s="14"/>
      <c r="R504" s="15"/>
      <c r="S504" s="15"/>
      <c r="T504" s="15"/>
      <c r="U504" s="15"/>
      <c r="V504" s="17"/>
      <c r="Y504" s="14"/>
    </row>
    <row r="505">
      <c r="Q505" s="14"/>
      <c r="R505" s="15"/>
      <c r="S505" s="15"/>
      <c r="T505" s="15"/>
      <c r="U505" s="15"/>
      <c r="V505" s="17"/>
      <c r="Y505" s="14"/>
    </row>
    <row r="506">
      <c r="Q506" s="14"/>
      <c r="R506" s="15"/>
      <c r="S506" s="15"/>
      <c r="T506" s="15"/>
      <c r="U506" s="15"/>
      <c r="V506" s="17"/>
      <c r="Y506" s="14"/>
    </row>
    <row r="507">
      <c r="Q507" s="14"/>
      <c r="R507" s="15"/>
      <c r="S507" s="15"/>
      <c r="T507" s="15"/>
      <c r="U507" s="15"/>
      <c r="V507" s="17"/>
      <c r="Y507" s="14"/>
    </row>
    <row r="508">
      <c r="Q508" s="14"/>
      <c r="R508" s="15"/>
      <c r="S508" s="15"/>
      <c r="T508" s="15"/>
      <c r="U508" s="15"/>
      <c r="V508" s="17"/>
      <c r="Y508" s="14"/>
    </row>
    <row r="509">
      <c r="Q509" s="14"/>
      <c r="R509" s="15"/>
      <c r="S509" s="15"/>
      <c r="T509" s="15"/>
      <c r="U509" s="15"/>
      <c r="V509" s="17"/>
      <c r="Y509" s="14"/>
    </row>
    <row r="510">
      <c r="Q510" s="14"/>
      <c r="R510" s="15"/>
      <c r="S510" s="15"/>
      <c r="T510" s="15"/>
      <c r="U510" s="15"/>
      <c r="V510" s="17"/>
      <c r="Y510" s="14"/>
    </row>
    <row r="511">
      <c r="Q511" s="14"/>
      <c r="R511" s="15"/>
      <c r="S511" s="15"/>
      <c r="T511" s="15"/>
      <c r="U511" s="15"/>
      <c r="V511" s="17"/>
      <c r="Y511" s="14"/>
    </row>
    <row r="512">
      <c r="Q512" s="14"/>
      <c r="R512" s="15"/>
      <c r="S512" s="15"/>
      <c r="T512" s="15"/>
      <c r="U512" s="15"/>
      <c r="V512" s="17"/>
      <c r="Y512" s="14"/>
    </row>
    <row r="513">
      <c r="Q513" s="14"/>
      <c r="R513" s="15"/>
      <c r="S513" s="15"/>
      <c r="T513" s="15"/>
      <c r="U513" s="15"/>
      <c r="V513" s="17"/>
      <c r="Y513" s="14"/>
    </row>
    <row r="514">
      <c r="Q514" s="14"/>
      <c r="R514" s="15"/>
      <c r="S514" s="15"/>
      <c r="T514" s="15"/>
      <c r="U514" s="15"/>
      <c r="V514" s="17"/>
      <c r="Y514" s="14"/>
    </row>
    <row r="515">
      <c r="Q515" s="14"/>
      <c r="R515" s="15"/>
      <c r="S515" s="15"/>
      <c r="T515" s="15"/>
      <c r="U515" s="15"/>
      <c r="V515" s="17"/>
      <c r="Y515" s="14"/>
    </row>
    <row r="516">
      <c r="Q516" s="14"/>
      <c r="R516" s="15"/>
      <c r="S516" s="15"/>
      <c r="T516" s="15"/>
      <c r="U516" s="15"/>
      <c r="V516" s="17"/>
      <c r="Y516" s="14"/>
    </row>
    <row r="517">
      <c r="Q517" s="14"/>
      <c r="R517" s="15"/>
      <c r="S517" s="15"/>
      <c r="T517" s="15"/>
      <c r="U517" s="15"/>
      <c r="V517" s="17"/>
      <c r="Y517" s="14"/>
    </row>
    <row r="518">
      <c r="Q518" s="14"/>
      <c r="R518" s="15"/>
      <c r="S518" s="15"/>
      <c r="T518" s="15"/>
      <c r="U518" s="15"/>
      <c r="V518" s="17"/>
      <c r="Y518" s="14"/>
    </row>
    <row r="519">
      <c r="Q519" s="14"/>
      <c r="R519" s="15"/>
      <c r="S519" s="15"/>
      <c r="T519" s="15"/>
      <c r="U519" s="15"/>
      <c r="V519" s="17"/>
      <c r="Y519" s="14"/>
    </row>
    <row r="520">
      <c r="Q520" s="14"/>
      <c r="R520" s="15"/>
      <c r="S520" s="15"/>
      <c r="T520" s="15"/>
      <c r="U520" s="15"/>
      <c r="V520" s="17"/>
      <c r="Y520" s="14"/>
    </row>
    <row r="521">
      <c r="Q521" s="14"/>
      <c r="R521" s="15"/>
      <c r="S521" s="15"/>
      <c r="T521" s="15"/>
      <c r="U521" s="15"/>
      <c r="V521" s="17"/>
      <c r="Y521" s="14"/>
    </row>
    <row r="522">
      <c r="Q522" s="14"/>
      <c r="R522" s="15"/>
      <c r="S522" s="15"/>
      <c r="T522" s="15"/>
      <c r="U522" s="15"/>
      <c r="V522" s="17"/>
      <c r="Y522" s="14"/>
    </row>
    <row r="523">
      <c r="Q523" s="14"/>
      <c r="R523" s="15"/>
      <c r="S523" s="15"/>
      <c r="T523" s="15"/>
      <c r="U523" s="15"/>
      <c r="V523" s="17"/>
      <c r="Y523" s="14"/>
    </row>
    <row r="524">
      <c r="Q524" s="14"/>
      <c r="R524" s="15"/>
      <c r="S524" s="15"/>
      <c r="T524" s="15"/>
      <c r="U524" s="15"/>
      <c r="V524" s="17"/>
      <c r="Y524" s="14"/>
    </row>
    <row r="525">
      <c r="Q525" s="14"/>
      <c r="R525" s="15"/>
      <c r="S525" s="15"/>
      <c r="T525" s="15"/>
      <c r="U525" s="15"/>
      <c r="V525" s="17"/>
      <c r="Y525" s="14"/>
    </row>
    <row r="526">
      <c r="Q526" s="14"/>
      <c r="R526" s="15"/>
      <c r="S526" s="15"/>
      <c r="T526" s="15"/>
      <c r="U526" s="15"/>
      <c r="V526" s="17"/>
      <c r="Y526" s="14"/>
    </row>
    <row r="527">
      <c r="Q527" s="14"/>
      <c r="R527" s="15"/>
      <c r="S527" s="15"/>
      <c r="T527" s="15"/>
      <c r="U527" s="15"/>
      <c r="V527" s="17"/>
      <c r="Y527" s="14"/>
    </row>
    <row r="528">
      <c r="Q528" s="14"/>
      <c r="R528" s="15"/>
      <c r="S528" s="15"/>
      <c r="T528" s="15"/>
      <c r="U528" s="15"/>
      <c r="V528" s="17"/>
      <c r="Y528" s="14"/>
    </row>
    <row r="529">
      <c r="Q529" s="14"/>
      <c r="R529" s="15"/>
      <c r="S529" s="15"/>
      <c r="T529" s="15"/>
      <c r="U529" s="15"/>
      <c r="V529" s="17"/>
      <c r="Y529" s="14"/>
    </row>
    <row r="530">
      <c r="Q530" s="14"/>
      <c r="R530" s="15"/>
      <c r="S530" s="15"/>
      <c r="T530" s="15"/>
      <c r="U530" s="15"/>
      <c r="V530" s="17"/>
      <c r="Y530" s="14"/>
    </row>
    <row r="531">
      <c r="Q531" s="14"/>
      <c r="R531" s="15"/>
      <c r="S531" s="15"/>
      <c r="T531" s="15"/>
      <c r="U531" s="15"/>
      <c r="V531" s="17"/>
      <c r="Y531" s="14"/>
    </row>
    <row r="532">
      <c r="Q532" s="14"/>
      <c r="R532" s="15"/>
      <c r="S532" s="15"/>
      <c r="T532" s="15"/>
      <c r="U532" s="15"/>
      <c r="V532" s="17"/>
      <c r="Y532" s="14"/>
    </row>
    <row r="533">
      <c r="Q533" s="14"/>
      <c r="R533" s="15"/>
      <c r="S533" s="15"/>
      <c r="T533" s="15"/>
      <c r="U533" s="15"/>
      <c r="V533" s="17"/>
      <c r="Y533" s="14"/>
    </row>
    <row r="534">
      <c r="Q534" s="14"/>
      <c r="R534" s="15"/>
      <c r="S534" s="15"/>
      <c r="T534" s="15"/>
      <c r="U534" s="15"/>
      <c r="V534" s="17"/>
      <c r="Y534" s="14"/>
    </row>
    <row r="535">
      <c r="Q535" s="14"/>
      <c r="R535" s="15"/>
      <c r="S535" s="15"/>
      <c r="T535" s="15"/>
      <c r="U535" s="15"/>
      <c r="V535" s="17"/>
      <c r="Y535" s="14"/>
    </row>
    <row r="536">
      <c r="Q536" s="14"/>
      <c r="R536" s="15"/>
      <c r="S536" s="15"/>
      <c r="T536" s="15"/>
      <c r="U536" s="15"/>
      <c r="V536" s="17"/>
      <c r="Y536" s="14"/>
    </row>
    <row r="537">
      <c r="Q537" s="14"/>
      <c r="R537" s="15"/>
      <c r="S537" s="15"/>
      <c r="T537" s="15"/>
      <c r="U537" s="15"/>
      <c r="V537" s="17"/>
      <c r="Y537" s="14"/>
    </row>
    <row r="538">
      <c r="Q538" s="14"/>
      <c r="R538" s="15"/>
      <c r="S538" s="15"/>
      <c r="T538" s="15"/>
      <c r="U538" s="15"/>
      <c r="V538" s="17"/>
      <c r="Y538" s="14"/>
    </row>
    <row r="539">
      <c r="Q539" s="14"/>
      <c r="R539" s="15"/>
      <c r="S539" s="15"/>
      <c r="T539" s="15"/>
      <c r="U539" s="15"/>
      <c r="V539" s="17"/>
      <c r="Y539" s="14"/>
    </row>
    <row r="540">
      <c r="Q540" s="14"/>
      <c r="R540" s="15"/>
      <c r="S540" s="15"/>
      <c r="T540" s="15"/>
      <c r="U540" s="15"/>
      <c r="V540" s="17"/>
      <c r="Y540" s="14"/>
    </row>
    <row r="541">
      <c r="Q541" s="14"/>
      <c r="R541" s="15"/>
      <c r="S541" s="15"/>
      <c r="T541" s="15"/>
      <c r="U541" s="15"/>
      <c r="V541" s="17"/>
      <c r="Y541" s="14"/>
    </row>
    <row r="542">
      <c r="Q542" s="14"/>
      <c r="R542" s="15"/>
      <c r="S542" s="15"/>
      <c r="T542" s="15"/>
      <c r="U542" s="15"/>
      <c r="V542" s="17"/>
      <c r="Y542" s="14"/>
    </row>
    <row r="543">
      <c r="Q543" s="14"/>
      <c r="R543" s="15"/>
      <c r="S543" s="15"/>
      <c r="T543" s="15"/>
      <c r="U543" s="15"/>
      <c r="V543" s="17"/>
      <c r="Y543" s="14"/>
    </row>
    <row r="544">
      <c r="Q544" s="14"/>
      <c r="R544" s="15"/>
      <c r="S544" s="15"/>
      <c r="T544" s="15"/>
      <c r="U544" s="15"/>
      <c r="V544" s="17"/>
      <c r="Y544" s="14"/>
    </row>
    <row r="545">
      <c r="Q545" s="14"/>
      <c r="R545" s="15"/>
      <c r="S545" s="15"/>
      <c r="T545" s="15"/>
      <c r="U545" s="15"/>
      <c r="V545" s="17"/>
      <c r="Y545" s="14"/>
    </row>
    <row r="546">
      <c r="Q546" s="14"/>
      <c r="R546" s="15"/>
      <c r="S546" s="15"/>
      <c r="T546" s="15"/>
      <c r="U546" s="15"/>
      <c r="V546" s="17"/>
      <c r="Y546" s="14"/>
    </row>
    <row r="547">
      <c r="Q547" s="14"/>
      <c r="R547" s="15"/>
      <c r="S547" s="15"/>
      <c r="T547" s="15"/>
      <c r="U547" s="15"/>
      <c r="V547" s="17"/>
      <c r="Y547" s="14"/>
    </row>
    <row r="548">
      <c r="Q548" s="14"/>
      <c r="R548" s="15"/>
      <c r="S548" s="15"/>
      <c r="T548" s="15"/>
      <c r="U548" s="15"/>
      <c r="V548" s="17"/>
      <c r="Y548" s="14"/>
    </row>
    <row r="549">
      <c r="Q549" s="14"/>
      <c r="R549" s="15"/>
      <c r="S549" s="15"/>
      <c r="T549" s="15"/>
      <c r="U549" s="15"/>
      <c r="V549" s="17"/>
      <c r="Y549" s="14"/>
    </row>
    <row r="550">
      <c r="Q550" s="14"/>
      <c r="R550" s="15"/>
      <c r="S550" s="15"/>
      <c r="T550" s="15"/>
      <c r="U550" s="15"/>
      <c r="V550" s="17"/>
      <c r="Y550" s="14"/>
    </row>
    <row r="551">
      <c r="Q551" s="14"/>
      <c r="R551" s="15"/>
      <c r="S551" s="15"/>
      <c r="T551" s="15"/>
      <c r="U551" s="15"/>
      <c r="V551" s="17"/>
      <c r="Y551" s="14"/>
    </row>
    <row r="552">
      <c r="Q552" s="14"/>
      <c r="R552" s="15"/>
      <c r="S552" s="15"/>
      <c r="T552" s="15"/>
      <c r="U552" s="15"/>
      <c r="V552" s="17"/>
      <c r="Y552" s="14"/>
    </row>
    <row r="553">
      <c r="Q553" s="14"/>
      <c r="R553" s="15"/>
      <c r="S553" s="15"/>
      <c r="T553" s="15"/>
      <c r="U553" s="15"/>
      <c r="V553" s="17"/>
      <c r="Y553" s="14"/>
    </row>
    <row r="554">
      <c r="Q554" s="14"/>
      <c r="R554" s="15"/>
      <c r="S554" s="15"/>
      <c r="T554" s="15"/>
      <c r="U554" s="15"/>
      <c r="V554" s="17"/>
      <c r="Y554" s="14"/>
    </row>
    <row r="555">
      <c r="Q555" s="14"/>
      <c r="R555" s="15"/>
      <c r="S555" s="15"/>
      <c r="T555" s="15"/>
      <c r="U555" s="15"/>
      <c r="V555" s="17"/>
      <c r="Y555" s="14"/>
    </row>
    <row r="556">
      <c r="Q556" s="14"/>
      <c r="R556" s="15"/>
      <c r="S556" s="15"/>
      <c r="T556" s="15"/>
      <c r="U556" s="15"/>
      <c r="V556" s="17"/>
      <c r="Y556" s="14"/>
    </row>
    <row r="557">
      <c r="Q557" s="14"/>
      <c r="R557" s="15"/>
      <c r="S557" s="15"/>
      <c r="T557" s="15"/>
      <c r="U557" s="15"/>
      <c r="V557" s="17"/>
      <c r="Y557" s="14"/>
    </row>
    <row r="558">
      <c r="Q558" s="14"/>
      <c r="R558" s="15"/>
      <c r="S558" s="15"/>
      <c r="T558" s="15"/>
      <c r="U558" s="15"/>
      <c r="V558" s="17"/>
      <c r="Y558" s="14"/>
    </row>
    <row r="559">
      <c r="Q559" s="14"/>
      <c r="R559" s="15"/>
      <c r="S559" s="15"/>
      <c r="T559" s="15"/>
      <c r="U559" s="15"/>
      <c r="V559" s="17"/>
      <c r="Y559" s="14"/>
    </row>
    <row r="560">
      <c r="Q560" s="14"/>
      <c r="R560" s="15"/>
      <c r="S560" s="15"/>
      <c r="T560" s="15"/>
      <c r="U560" s="15"/>
      <c r="V560" s="17"/>
      <c r="Y560" s="14"/>
    </row>
    <row r="561">
      <c r="Q561" s="14"/>
      <c r="R561" s="15"/>
      <c r="S561" s="15"/>
      <c r="T561" s="15"/>
      <c r="U561" s="15"/>
      <c r="V561" s="17"/>
      <c r="Y561" s="14"/>
    </row>
    <row r="562">
      <c r="Q562" s="14"/>
      <c r="R562" s="15"/>
      <c r="S562" s="15"/>
      <c r="T562" s="15"/>
      <c r="U562" s="15"/>
      <c r="V562" s="17"/>
      <c r="Y562" s="14"/>
    </row>
    <row r="563">
      <c r="Q563" s="14"/>
      <c r="R563" s="15"/>
      <c r="S563" s="15"/>
      <c r="T563" s="15"/>
      <c r="U563" s="15"/>
      <c r="V563" s="17"/>
      <c r="Y563" s="14"/>
    </row>
    <row r="564">
      <c r="Q564" s="14"/>
      <c r="R564" s="15"/>
      <c r="S564" s="15"/>
      <c r="T564" s="15"/>
      <c r="U564" s="15"/>
      <c r="V564" s="17"/>
      <c r="Y564" s="14"/>
    </row>
    <row r="565">
      <c r="Q565" s="14"/>
      <c r="R565" s="15"/>
      <c r="S565" s="15"/>
      <c r="T565" s="15"/>
      <c r="U565" s="15"/>
      <c r="V565" s="17"/>
      <c r="Y565" s="14"/>
    </row>
    <row r="566">
      <c r="Q566" s="14"/>
      <c r="R566" s="15"/>
      <c r="S566" s="15"/>
      <c r="T566" s="15"/>
      <c r="U566" s="15"/>
      <c r="V566" s="17"/>
      <c r="Y566" s="14"/>
    </row>
    <row r="567">
      <c r="Q567" s="14"/>
      <c r="R567" s="15"/>
      <c r="S567" s="15"/>
      <c r="T567" s="15"/>
      <c r="U567" s="15"/>
      <c r="V567" s="17"/>
      <c r="Y567" s="14"/>
    </row>
    <row r="568">
      <c r="Q568" s="14"/>
      <c r="R568" s="15"/>
      <c r="S568" s="15"/>
      <c r="T568" s="15"/>
      <c r="U568" s="15"/>
      <c r="V568" s="17"/>
      <c r="Y568" s="14"/>
    </row>
    <row r="569">
      <c r="Q569" s="14"/>
      <c r="R569" s="15"/>
      <c r="S569" s="15"/>
      <c r="T569" s="15"/>
      <c r="U569" s="15"/>
      <c r="V569" s="17"/>
      <c r="Y569" s="14"/>
    </row>
    <row r="570">
      <c r="Q570" s="14"/>
      <c r="R570" s="15"/>
      <c r="S570" s="15"/>
      <c r="T570" s="15"/>
      <c r="U570" s="15"/>
      <c r="V570" s="17"/>
      <c r="Y570" s="14"/>
    </row>
    <row r="571">
      <c r="Q571" s="14"/>
      <c r="R571" s="15"/>
      <c r="S571" s="15"/>
      <c r="T571" s="15"/>
      <c r="U571" s="15"/>
      <c r="V571" s="17"/>
      <c r="Y571" s="14"/>
    </row>
    <row r="572">
      <c r="Q572" s="14"/>
      <c r="R572" s="15"/>
      <c r="S572" s="15"/>
      <c r="T572" s="15"/>
      <c r="U572" s="15"/>
      <c r="V572" s="17"/>
      <c r="Y572" s="14"/>
    </row>
    <row r="573">
      <c r="Q573" s="14"/>
      <c r="R573" s="15"/>
      <c r="S573" s="15"/>
      <c r="T573" s="15"/>
      <c r="U573" s="15"/>
      <c r="V573" s="17"/>
      <c r="Y573" s="14"/>
    </row>
    <row r="574">
      <c r="Q574" s="14"/>
      <c r="R574" s="15"/>
      <c r="S574" s="15"/>
      <c r="T574" s="15"/>
      <c r="U574" s="15"/>
      <c r="V574" s="17"/>
      <c r="Y574" s="14"/>
    </row>
    <row r="575">
      <c r="Q575" s="14"/>
      <c r="R575" s="15"/>
      <c r="S575" s="15"/>
      <c r="T575" s="15"/>
      <c r="U575" s="15"/>
      <c r="V575" s="17"/>
      <c r="Y575" s="14"/>
    </row>
    <row r="576">
      <c r="Q576" s="14"/>
      <c r="R576" s="15"/>
      <c r="S576" s="15"/>
      <c r="T576" s="15"/>
      <c r="U576" s="15"/>
      <c r="V576" s="17"/>
      <c r="Y576" s="14"/>
    </row>
    <row r="577">
      <c r="Q577" s="14"/>
      <c r="R577" s="15"/>
      <c r="S577" s="15"/>
      <c r="T577" s="15"/>
      <c r="U577" s="15"/>
      <c r="V577" s="17"/>
      <c r="Y577" s="14"/>
    </row>
    <row r="578">
      <c r="Q578" s="14"/>
      <c r="R578" s="15"/>
      <c r="S578" s="15"/>
      <c r="T578" s="15"/>
      <c r="U578" s="15"/>
      <c r="V578" s="17"/>
      <c r="Y578" s="14"/>
    </row>
    <row r="579">
      <c r="Q579" s="14"/>
      <c r="R579" s="15"/>
      <c r="S579" s="15"/>
      <c r="T579" s="15"/>
      <c r="U579" s="15"/>
      <c r="V579" s="17"/>
      <c r="Y579" s="14"/>
    </row>
    <row r="580">
      <c r="Q580" s="14"/>
      <c r="R580" s="15"/>
      <c r="S580" s="15"/>
      <c r="T580" s="15"/>
      <c r="U580" s="15"/>
      <c r="V580" s="17"/>
      <c r="Y580" s="14"/>
    </row>
    <row r="581">
      <c r="Q581" s="14"/>
      <c r="R581" s="15"/>
      <c r="S581" s="15"/>
      <c r="T581" s="15"/>
      <c r="U581" s="15"/>
      <c r="V581" s="17"/>
      <c r="Y581" s="14"/>
    </row>
    <row r="582">
      <c r="Q582" s="14"/>
      <c r="R582" s="15"/>
      <c r="S582" s="15"/>
      <c r="T582" s="15"/>
      <c r="U582" s="15"/>
      <c r="V582" s="17"/>
      <c r="Y582" s="14"/>
    </row>
    <row r="583">
      <c r="Q583" s="14"/>
      <c r="R583" s="15"/>
      <c r="S583" s="15"/>
      <c r="T583" s="15"/>
      <c r="U583" s="15"/>
      <c r="V583" s="17"/>
      <c r="Y583" s="14"/>
    </row>
    <row r="584">
      <c r="Q584" s="14"/>
      <c r="R584" s="15"/>
      <c r="S584" s="15"/>
      <c r="T584" s="15"/>
      <c r="U584" s="15"/>
      <c r="V584" s="17"/>
      <c r="Y584" s="14"/>
    </row>
    <row r="585">
      <c r="Q585" s="14"/>
      <c r="R585" s="15"/>
      <c r="S585" s="15"/>
      <c r="T585" s="15"/>
      <c r="U585" s="15"/>
      <c r="V585" s="17"/>
      <c r="Y585" s="14"/>
    </row>
    <row r="586">
      <c r="Q586" s="14"/>
      <c r="R586" s="15"/>
      <c r="S586" s="15"/>
      <c r="T586" s="15"/>
      <c r="U586" s="15"/>
      <c r="V586" s="17"/>
      <c r="Y586" s="14"/>
    </row>
    <row r="587">
      <c r="Q587" s="14"/>
      <c r="R587" s="15"/>
      <c r="S587" s="15"/>
      <c r="T587" s="15"/>
      <c r="U587" s="15"/>
      <c r="V587" s="17"/>
      <c r="Y587" s="14"/>
    </row>
    <row r="588">
      <c r="Q588" s="14"/>
      <c r="R588" s="15"/>
      <c r="S588" s="15"/>
      <c r="T588" s="15"/>
      <c r="U588" s="15"/>
      <c r="V588" s="17"/>
      <c r="Y588" s="14"/>
    </row>
    <row r="589">
      <c r="Q589" s="14"/>
      <c r="R589" s="15"/>
      <c r="S589" s="15"/>
      <c r="T589" s="15"/>
      <c r="U589" s="15"/>
      <c r="V589" s="17"/>
      <c r="Y589" s="14"/>
    </row>
    <row r="590">
      <c r="Q590" s="14"/>
      <c r="R590" s="15"/>
      <c r="S590" s="15"/>
      <c r="T590" s="15"/>
      <c r="U590" s="15"/>
      <c r="V590" s="17"/>
      <c r="Y590" s="14"/>
    </row>
    <row r="591">
      <c r="Q591" s="14"/>
      <c r="R591" s="15"/>
      <c r="S591" s="15"/>
      <c r="T591" s="15"/>
      <c r="U591" s="15"/>
      <c r="V591" s="17"/>
      <c r="Y591" s="14"/>
    </row>
    <row r="592">
      <c r="Q592" s="14"/>
      <c r="R592" s="15"/>
      <c r="S592" s="15"/>
      <c r="T592" s="15"/>
      <c r="U592" s="15"/>
      <c r="V592" s="17"/>
      <c r="Y592" s="14"/>
    </row>
    <row r="593">
      <c r="Q593" s="14"/>
      <c r="R593" s="15"/>
      <c r="S593" s="15"/>
      <c r="T593" s="15"/>
      <c r="U593" s="15"/>
      <c r="V593" s="17"/>
      <c r="Y593" s="14"/>
    </row>
    <row r="594">
      <c r="Q594" s="14"/>
      <c r="R594" s="15"/>
      <c r="S594" s="15"/>
      <c r="T594" s="15"/>
      <c r="U594" s="15"/>
      <c r="V594" s="17"/>
      <c r="Y594" s="14"/>
    </row>
    <row r="595">
      <c r="Q595" s="14"/>
      <c r="R595" s="15"/>
      <c r="S595" s="15"/>
      <c r="T595" s="15"/>
      <c r="U595" s="15"/>
      <c r="V595" s="17"/>
      <c r="Y595" s="14"/>
    </row>
    <row r="596">
      <c r="Q596" s="14"/>
      <c r="R596" s="15"/>
      <c r="S596" s="15"/>
      <c r="T596" s="15"/>
      <c r="U596" s="15"/>
      <c r="V596" s="17"/>
      <c r="Y596" s="14"/>
    </row>
    <row r="597">
      <c r="Q597" s="14"/>
      <c r="R597" s="15"/>
      <c r="S597" s="15"/>
      <c r="T597" s="15"/>
      <c r="U597" s="15"/>
      <c r="V597" s="17"/>
      <c r="Y597" s="14"/>
    </row>
    <row r="598">
      <c r="Q598" s="14"/>
      <c r="R598" s="15"/>
      <c r="S598" s="15"/>
      <c r="T598" s="15"/>
      <c r="U598" s="15"/>
      <c r="V598" s="17"/>
      <c r="Y598" s="14"/>
    </row>
    <row r="599">
      <c r="Q599" s="14"/>
      <c r="R599" s="15"/>
      <c r="S599" s="15"/>
      <c r="T599" s="15"/>
      <c r="U599" s="15"/>
      <c r="V599" s="17"/>
      <c r="Y599" s="14"/>
    </row>
    <row r="600">
      <c r="Q600" s="14"/>
      <c r="R600" s="15"/>
      <c r="S600" s="15"/>
      <c r="T600" s="15"/>
      <c r="U600" s="15"/>
      <c r="V600" s="17"/>
      <c r="Y600" s="14"/>
    </row>
    <row r="601">
      <c r="Q601" s="14"/>
      <c r="R601" s="15"/>
      <c r="S601" s="15"/>
      <c r="T601" s="15"/>
      <c r="U601" s="15"/>
      <c r="V601" s="17"/>
      <c r="Y601" s="14"/>
    </row>
    <row r="602">
      <c r="Q602" s="14"/>
      <c r="R602" s="15"/>
      <c r="S602" s="15"/>
      <c r="T602" s="15"/>
      <c r="U602" s="15"/>
      <c r="V602" s="17"/>
      <c r="Y602" s="14"/>
    </row>
    <row r="603">
      <c r="Q603" s="14"/>
      <c r="R603" s="15"/>
      <c r="S603" s="15"/>
      <c r="T603" s="15"/>
      <c r="U603" s="15"/>
      <c r="V603" s="17"/>
      <c r="Y603" s="14"/>
    </row>
    <row r="604">
      <c r="Q604" s="14"/>
      <c r="R604" s="15"/>
      <c r="S604" s="15"/>
      <c r="T604" s="15"/>
      <c r="U604" s="15"/>
      <c r="V604" s="17"/>
      <c r="Y604" s="14"/>
    </row>
    <row r="605">
      <c r="Q605" s="14"/>
      <c r="R605" s="15"/>
      <c r="S605" s="15"/>
      <c r="T605" s="15"/>
      <c r="U605" s="15"/>
      <c r="V605" s="17"/>
      <c r="Y605" s="14"/>
    </row>
    <row r="606">
      <c r="Q606" s="14"/>
      <c r="R606" s="15"/>
      <c r="S606" s="15"/>
      <c r="T606" s="15"/>
      <c r="U606" s="15"/>
      <c r="V606" s="17"/>
      <c r="Y606" s="14"/>
    </row>
    <row r="607">
      <c r="Q607" s="14"/>
      <c r="R607" s="15"/>
      <c r="S607" s="15"/>
      <c r="T607" s="15"/>
      <c r="U607" s="15"/>
      <c r="V607" s="17"/>
      <c r="Y607" s="14"/>
    </row>
    <row r="608">
      <c r="Q608" s="14"/>
      <c r="R608" s="15"/>
      <c r="S608" s="15"/>
      <c r="T608" s="15"/>
      <c r="U608" s="15"/>
      <c r="V608" s="17"/>
      <c r="Y608" s="14"/>
    </row>
    <row r="609">
      <c r="Q609" s="14"/>
      <c r="R609" s="15"/>
      <c r="S609" s="15"/>
      <c r="T609" s="15"/>
      <c r="U609" s="15"/>
      <c r="V609" s="17"/>
      <c r="Y609" s="14"/>
    </row>
    <row r="610">
      <c r="Q610" s="14"/>
      <c r="R610" s="15"/>
      <c r="S610" s="15"/>
      <c r="T610" s="15"/>
      <c r="U610" s="15"/>
      <c r="V610" s="17"/>
      <c r="Y610" s="14"/>
    </row>
    <row r="611">
      <c r="Q611" s="14"/>
      <c r="R611" s="15"/>
      <c r="S611" s="15"/>
      <c r="T611" s="15"/>
      <c r="U611" s="15"/>
      <c r="V611" s="17"/>
      <c r="Y611" s="14"/>
    </row>
    <row r="612">
      <c r="Q612" s="14"/>
      <c r="R612" s="15"/>
      <c r="S612" s="15"/>
      <c r="T612" s="15"/>
      <c r="U612" s="15"/>
      <c r="V612" s="17"/>
      <c r="Y612" s="14"/>
    </row>
    <row r="613">
      <c r="Q613" s="14"/>
      <c r="R613" s="15"/>
      <c r="S613" s="15"/>
      <c r="T613" s="15"/>
      <c r="U613" s="15"/>
      <c r="V613" s="17"/>
      <c r="Y613" s="14"/>
    </row>
    <row r="614">
      <c r="Q614" s="14"/>
      <c r="R614" s="15"/>
      <c r="S614" s="15"/>
      <c r="T614" s="15"/>
      <c r="U614" s="15"/>
      <c r="V614" s="17"/>
      <c r="Y614" s="14"/>
    </row>
    <row r="615">
      <c r="Q615" s="14"/>
      <c r="R615" s="15"/>
      <c r="S615" s="15"/>
      <c r="T615" s="15"/>
      <c r="U615" s="15"/>
      <c r="V615" s="17"/>
      <c r="Y615" s="14"/>
    </row>
    <row r="616">
      <c r="Q616" s="14"/>
      <c r="R616" s="15"/>
      <c r="S616" s="15"/>
      <c r="T616" s="15"/>
      <c r="U616" s="15"/>
      <c r="V616" s="17"/>
      <c r="Y616" s="14"/>
    </row>
    <row r="617">
      <c r="Q617" s="14"/>
      <c r="R617" s="15"/>
      <c r="S617" s="15"/>
      <c r="T617" s="15"/>
      <c r="U617" s="15"/>
      <c r="V617" s="17"/>
      <c r="Y617" s="14"/>
    </row>
    <row r="618">
      <c r="Q618" s="14"/>
      <c r="R618" s="15"/>
      <c r="S618" s="15"/>
      <c r="T618" s="15"/>
      <c r="U618" s="15"/>
      <c r="V618" s="17"/>
      <c r="Y618" s="14"/>
    </row>
    <row r="619">
      <c r="Q619" s="14"/>
      <c r="R619" s="15"/>
      <c r="S619" s="15"/>
      <c r="T619" s="15"/>
      <c r="U619" s="15"/>
      <c r="V619" s="17"/>
      <c r="Y619" s="14"/>
    </row>
    <row r="620">
      <c r="Q620" s="14"/>
      <c r="R620" s="15"/>
      <c r="S620" s="15"/>
      <c r="T620" s="15"/>
      <c r="U620" s="15"/>
      <c r="V620" s="17"/>
      <c r="Y620" s="14"/>
    </row>
    <row r="621">
      <c r="Q621" s="14"/>
      <c r="R621" s="15"/>
      <c r="S621" s="15"/>
      <c r="T621" s="15"/>
      <c r="U621" s="15"/>
      <c r="V621" s="17"/>
      <c r="Y621" s="14"/>
    </row>
    <row r="622">
      <c r="Q622" s="14"/>
      <c r="R622" s="15"/>
      <c r="S622" s="15"/>
      <c r="T622" s="15"/>
      <c r="U622" s="15"/>
      <c r="V622" s="17"/>
      <c r="Y622" s="14"/>
    </row>
    <row r="623">
      <c r="Q623" s="14"/>
      <c r="R623" s="15"/>
      <c r="S623" s="15"/>
      <c r="T623" s="15"/>
      <c r="U623" s="15"/>
      <c r="V623" s="17"/>
      <c r="Y623" s="14"/>
    </row>
    <row r="624">
      <c r="Q624" s="14"/>
      <c r="R624" s="15"/>
      <c r="S624" s="15"/>
      <c r="T624" s="15"/>
      <c r="U624" s="15"/>
      <c r="V624" s="17"/>
      <c r="Y624" s="14"/>
    </row>
    <row r="625">
      <c r="Q625" s="14"/>
      <c r="R625" s="15"/>
      <c r="S625" s="15"/>
      <c r="T625" s="15"/>
      <c r="U625" s="15"/>
      <c r="V625" s="17"/>
      <c r="Y625" s="14"/>
    </row>
    <row r="626">
      <c r="Q626" s="14"/>
      <c r="R626" s="15"/>
      <c r="S626" s="15"/>
      <c r="T626" s="15"/>
      <c r="U626" s="15"/>
      <c r="V626" s="17"/>
      <c r="Y626" s="14"/>
    </row>
    <row r="627">
      <c r="Q627" s="14"/>
      <c r="R627" s="15"/>
      <c r="S627" s="15"/>
      <c r="T627" s="15"/>
      <c r="U627" s="15"/>
      <c r="V627" s="17"/>
      <c r="Y627" s="14"/>
    </row>
    <row r="628">
      <c r="Q628" s="14"/>
      <c r="R628" s="15"/>
      <c r="S628" s="15"/>
      <c r="T628" s="15"/>
      <c r="U628" s="15"/>
      <c r="V628" s="17"/>
      <c r="Y628" s="14"/>
    </row>
    <row r="629">
      <c r="Q629" s="14"/>
      <c r="R629" s="15"/>
      <c r="S629" s="15"/>
      <c r="T629" s="15"/>
      <c r="U629" s="15"/>
      <c r="V629" s="17"/>
      <c r="Y629" s="14"/>
    </row>
    <row r="630">
      <c r="Q630" s="14"/>
      <c r="R630" s="15"/>
      <c r="S630" s="15"/>
      <c r="T630" s="15"/>
      <c r="U630" s="15"/>
      <c r="V630" s="17"/>
      <c r="Y630" s="14"/>
    </row>
    <row r="631">
      <c r="Q631" s="14"/>
      <c r="R631" s="15"/>
      <c r="S631" s="15"/>
      <c r="T631" s="15"/>
      <c r="U631" s="15"/>
      <c r="V631" s="17"/>
      <c r="Y631" s="14"/>
    </row>
    <row r="632">
      <c r="Q632" s="14"/>
      <c r="R632" s="15"/>
      <c r="S632" s="15"/>
      <c r="T632" s="15"/>
      <c r="U632" s="15"/>
      <c r="V632" s="17"/>
      <c r="Y632" s="14"/>
    </row>
    <row r="633">
      <c r="Q633" s="14"/>
      <c r="R633" s="15"/>
      <c r="S633" s="15"/>
      <c r="T633" s="15"/>
      <c r="U633" s="15"/>
      <c r="V633" s="17"/>
      <c r="Y633" s="14"/>
    </row>
    <row r="634">
      <c r="Q634" s="14"/>
      <c r="R634" s="15"/>
      <c r="S634" s="15"/>
      <c r="T634" s="15"/>
      <c r="U634" s="15"/>
      <c r="V634" s="17"/>
      <c r="Y634" s="14"/>
    </row>
    <row r="635">
      <c r="Q635" s="14"/>
      <c r="R635" s="15"/>
      <c r="S635" s="15"/>
      <c r="T635" s="15"/>
      <c r="U635" s="15"/>
      <c r="V635" s="17"/>
      <c r="Y635" s="14"/>
    </row>
    <row r="636">
      <c r="Q636" s="14"/>
      <c r="R636" s="15"/>
      <c r="S636" s="15"/>
      <c r="T636" s="15"/>
      <c r="U636" s="15"/>
      <c r="V636" s="17"/>
      <c r="Y636" s="14"/>
    </row>
    <row r="637">
      <c r="Q637" s="14"/>
      <c r="R637" s="15"/>
      <c r="S637" s="15"/>
      <c r="T637" s="15"/>
      <c r="U637" s="15"/>
      <c r="V637" s="17"/>
      <c r="Y637" s="14"/>
    </row>
    <row r="638">
      <c r="Q638" s="14"/>
      <c r="R638" s="15"/>
      <c r="S638" s="15"/>
      <c r="T638" s="15"/>
      <c r="U638" s="15"/>
      <c r="V638" s="17"/>
      <c r="Y638" s="14"/>
    </row>
    <row r="639">
      <c r="Q639" s="14"/>
      <c r="R639" s="15"/>
      <c r="S639" s="15"/>
      <c r="T639" s="15"/>
      <c r="U639" s="15"/>
      <c r="V639" s="17"/>
      <c r="Y639" s="14"/>
    </row>
    <row r="640">
      <c r="Q640" s="14"/>
      <c r="R640" s="15"/>
      <c r="S640" s="15"/>
      <c r="T640" s="15"/>
      <c r="U640" s="15"/>
      <c r="V640" s="17"/>
      <c r="Y640" s="14"/>
    </row>
    <row r="641">
      <c r="Q641" s="14"/>
      <c r="R641" s="15"/>
      <c r="S641" s="15"/>
      <c r="T641" s="15"/>
      <c r="U641" s="15"/>
      <c r="V641" s="17"/>
      <c r="Y641" s="14"/>
    </row>
    <row r="642">
      <c r="Q642" s="14"/>
      <c r="R642" s="15"/>
      <c r="S642" s="15"/>
      <c r="T642" s="15"/>
      <c r="U642" s="15"/>
      <c r="V642" s="17"/>
      <c r="Y642" s="14"/>
    </row>
    <row r="643">
      <c r="Q643" s="14"/>
      <c r="R643" s="15"/>
      <c r="S643" s="15"/>
      <c r="T643" s="15"/>
      <c r="U643" s="15"/>
      <c r="V643" s="17"/>
      <c r="Y643" s="14"/>
    </row>
    <row r="644">
      <c r="Q644" s="14"/>
      <c r="R644" s="15"/>
      <c r="S644" s="15"/>
      <c r="T644" s="15"/>
      <c r="U644" s="15"/>
      <c r="V644" s="17"/>
      <c r="Y644" s="14"/>
    </row>
    <row r="645">
      <c r="Q645" s="14"/>
      <c r="R645" s="15"/>
      <c r="S645" s="15"/>
      <c r="T645" s="15"/>
      <c r="U645" s="15"/>
      <c r="V645" s="17"/>
      <c r="Y645" s="14"/>
    </row>
    <row r="646">
      <c r="Q646" s="14"/>
      <c r="R646" s="15"/>
      <c r="S646" s="15"/>
      <c r="T646" s="15"/>
      <c r="U646" s="15"/>
      <c r="V646" s="17"/>
      <c r="Y646" s="14"/>
    </row>
    <row r="647">
      <c r="Q647" s="14"/>
      <c r="R647" s="15"/>
      <c r="S647" s="15"/>
      <c r="T647" s="15"/>
      <c r="U647" s="15"/>
      <c r="V647" s="17"/>
      <c r="Y647" s="14"/>
    </row>
    <row r="648">
      <c r="Q648" s="14"/>
      <c r="R648" s="15"/>
      <c r="S648" s="15"/>
      <c r="T648" s="15"/>
      <c r="U648" s="15"/>
      <c r="V648" s="17"/>
      <c r="Y648" s="14"/>
    </row>
    <row r="649">
      <c r="Q649" s="14"/>
      <c r="R649" s="15"/>
      <c r="S649" s="15"/>
      <c r="T649" s="15"/>
      <c r="U649" s="15"/>
      <c r="V649" s="17"/>
      <c r="Y649" s="14"/>
    </row>
    <row r="650">
      <c r="Q650" s="14"/>
      <c r="R650" s="15"/>
      <c r="S650" s="15"/>
      <c r="T650" s="15"/>
      <c r="U650" s="15"/>
      <c r="V650" s="17"/>
      <c r="Y650" s="14"/>
    </row>
    <row r="651">
      <c r="Q651" s="14"/>
      <c r="R651" s="15"/>
      <c r="S651" s="15"/>
      <c r="T651" s="15"/>
      <c r="U651" s="15"/>
      <c r="V651" s="17"/>
      <c r="Y651" s="14"/>
    </row>
    <row r="652">
      <c r="Q652" s="14"/>
      <c r="R652" s="15"/>
      <c r="S652" s="15"/>
      <c r="T652" s="15"/>
      <c r="U652" s="15"/>
      <c r="V652" s="17"/>
      <c r="Y652" s="14"/>
    </row>
    <row r="653">
      <c r="Q653" s="14"/>
      <c r="R653" s="15"/>
      <c r="S653" s="15"/>
      <c r="T653" s="15"/>
      <c r="U653" s="15"/>
      <c r="V653" s="17"/>
      <c r="Y653" s="14"/>
    </row>
    <row r="654">
      <c r="Q654" s="14"/>
      <c r="R654" s="15"/>
      <c r="S654" s="15"/>
      <c r="T654" s="15"/>
      <c r="U654" s="15"/>
      <c r="V654" s="17"/>
      <c r="Y654" s="14"/>
    </row>
    <row r="655">
      <c r="Q655" s="14"/>
      <c r="R655" s="15"/>
      <c r="S655" s="15"/>
      <c r="T655" s="15"/>
      <c r="U655" s="15"/>
      <c r="V655" s="17"/>
      <c r="Y655" s="14"/>
    </row>
    <row r="656">
      <c r="Q656" s="14"/>
      <c r="R656" s="15"/>
      <c r="S656" s="15"/>
      <c r="T656" s="15"/>
      <c r="U656" s="15"/>
      <c r="V656" s="17"/>
      <c r="Y656" s="14"/>
    </row>
    <row r="657">
      <c r="Q657" s="14"/>
      <c r="R657" s="15"/>
      <c r="S657" s="15"/>
      <c r="T657" s="15"/>
      <c r="U657" s="15"/>
      <c r="V657" s="17"/>
      <c r="Y657" s="14"/>
    </row>
    <row r="658">
      <c r="Q658" s="14"/>
      <c r="R658" s="15"/>
      <c r="S658" s="15"/>
      <c r="T658" s="15"/>
      <c r="U658" s="15"/>
      <c r="V658" s="17"/>
      <c r="Y658" s="14"/>
    </row>
    <row r="659">
      <c r="Q659" s="14"/>
      <c r="R659" s="15"/>
      <c r="S659" s="15"/>
      <c r="T659" s="15"/>
      <c r="U659" s="15"/>
      <c r="V659" s="17"/>
      <c r="Y659" s="14"/>
    </row>
    <row r="660">
      <c r="Q660" s="14"/>
      <c r="R660" s="15"/>
      <c r="S660" s="15"/>
      <c r="T660" s="15"/>
      <c r="U660" s="15"/>
      <c r="V660" s="17"/>
      <c r="Y660" s="14"/>
    </row>
    <row r="661">
      <c r="Q661" s="14"/>
      <c r="R661" s="15"/>
      <c r="S661" s="15"/>
      <c r="T661" s="15"/>
      <c r="U661" s="15"/>
      <c r="V661" s="17"/>
      <c r="Y661" s="14"/>
    </row>
    <row r="662">
      <c r="Q662" s="14"/>
      <c r="R662" s="15"/>
      <c r="S662" s="15"/>
      <c r="T662" s="15"/>
      <c r="U662" s="15"/>
      <c r="V662" s="17"/>
      <c r="Y662" s="14"/>
    </row>
    <row r="663">
      <c r="Q663" s="14"/>
      <c r="R663" s="15"/>
      <c r="S663" s="15"/>
      <c r="T663" s="15"/>
      <c r="U663" s="15"/>
      <c r="V663" s="17"/>
      <c r="Y663" s="14"/>
    </row>
    <row r="664">
      <c r="Q664" s="14"/>
      <c r="R664" s="15"/>
      <c r="S664" s="15"/>
      <c r="T664" s="15"/>
      <c r="U664" s="15"/>
      <c r="V664" s="17"/>
      <c r="Y664" s="14"/>
    </row>
    <row r="665">
      <c r="Q665" s="14"/>
      <c r="R665" s="15"/>
      <c r="S665" s="15"/>
      <c r="T665" s="15"/>
      <c r="U665" s="15"/>
      <c r="V665" s="17"/>
      <c r="Y665" s="14"/>
    </row>
    <row r="666">
      <c r="Q666" s="14"/>
      <c r="R666" s="15"/>
      <c r="S666" s="15"/>
      <c r="T666" s="15"/>
      <c r="U666" s="15"/>
      <c r="V666" s="17"/>
      <c r="Y666" s="14"/>
    </row>
    <row r="667">
      <c r="Q667" s="14"/>
      <c r="R667" s="15"/>
      <c r="S667" s="15"/>
      <c r="T667" s="15"/>
      <c r="U667" s="15"/>
      <c r="V667" s="17"/>
      <c r="Y667" s="14"/>
    </row>
    <row r="668">
      <c r="Q668" s="14"/>
      <c r="R668" s="15"/>
      <c r="S668" s="15"/>
      <c r="T668" s="15"/>
      <c r="U668" s="15"/>
      <c r="V668" s="17"/>
      <c r="Y668" s="14"/>
    </row>
    <row r="669">
      <c r="Q669" s="14"/>
      <c r="R669" s="15"/>
      <c r="S669" s="15"/>
      <c r="T669" s="15"/>
      <c r="U669" s="15"/>
      <c r="V669" s="17"/>
      <c r="Y669" s="14"/>
    </row>
    <row r="670">
      <c r="Q670" s="14"/>
      <c r="R670" s="15"/>
      <c r="S670" s="15"/>
      <c r="T670" s="15"/>
      <c r="U670" s="15"/>
      <c r="V670" s="17"/>
      <c r="Y670" s="14"/>
    </row>
    <row r="671">
      <c r="Q671" s="14"/>
      <c r="R671" s="15"/>
      <c r="S671" s="15"/>
      <c r="T671" s="15"/>
      <c r="U671" s="15"/>
      <c r="V671" s="17"/>
      <c r="Y671" s="14"/>
    </row>
    <row r="672">
      <c r="Q672" s="14"/>
      <c r="R672" s="15"/>
      <c r="S672" s="15"/>
      <c r="T672" s="15"/>
      <c r="U672" s="15"/>
      <c r="V672" s="17"/>
      <c r="Y672" s="14"/>
    </row>
    <row r="673">
      <c r="Q673" s="14"/>
      <c r="R673" s="15"/>
      <c r="S673" s="15"/>
      <c r="T673" s="15"/>
      <c r="U673" s="15"/>
      <c r="V673" s="17"/>
      <c r="Y673" s="14"/>
    </row>
    <row r="674">
      <c r="Q674" s="14"/>
      <c r="R674" s="15"/>
      <c r="S674" s="15"/>
      <c r="T674" s="15"/>
      <c r="U674" s="15"/>
      <c r="V674" s="17"/>
      <c r="Y674" s="14"/>
    </row>
    <row r="675">
      <c r="Q675" s="14"/>
      <c r="R675" s="15"/>
      <c r="S675" s="15"/>
      <c r="T675" s="15"/>
      <c r="U675" s="15"/>
      <c r="V675" s="17"/>
      <c r="Y675" s="14"/>
    </row>
    <row r="676">
      <c r="Q676" s="14"/>
      <c r="R676" s="15"/>
      <c r="S676" s="15"/>
      <c r="T676" s="15"/>
      <c r="U676" s="15"/>
      <c r="V676" s="17"/>
      <c r="Y676" s="14"/>
    </row>
    <row r="677">
      <c r="Q677" s="14"/>
      <c r="R677" s="15"/>
      <c r="S677" s="15"/>
      <c r="T677" s="15"/>
      <c r="U677" s="15"/>
      <c r="V677" s="17"/>
      <c r="Y677" s="14"/>
    </row>
    <row r="678">
      <c r="Q678" s="14"/>
      <c r="R678" s="15"/>
      <c r="S678" s="15"/>
      <c r="T678" s="15"/>
      <c r="U678" s="15"/>
      <c r="V678" s="17"/>
      <c r="Y678" s="14"/>
    </row>
    <row r="679">
      <c r="Q679" s="14"/>
      <c r="R679" s="15"/>
      <c r="S679" s="15"/>
      <c r="T679" s="15"/>
      <c r="U679" s="15"/>
      <c r="V679" s="17"/>
      <c r="Y679" s="14"/>
    </row>
    <row r="680">
      <c r="Q680" s="14"/>
      <c r="R680" s="15"/>
      <c r="S680" s="15"/>
      <c r="T680" s="15"/>
      <c r="U680" s="15"/>
      <c r="V680" s="17"/>
      <c r="Y680" s="14"/>
    </row>
    <row r="681">
      <c r="Q681" s="14"/>
      <c r="R681" s="15"/>
      <c r="S681" s="15"/>
      <c r="T681" s="15"/>
      <c r="U681" s="15"/>
      <c r="V681" s="17"/>
      <c r="Y681" s="14"/>
    </row>
    <row r="682">
      <c r="Q682" s="14"/>
      <c r="R682" s="15"/>
      <c r="S682" s="15"/>
      <c r="T682" s="15"/>
      <c r="U682" s="15"/>
      <c r="V682" s="17"/>
      <c r="Y682" s="14"/>
    </row>
    <row r="683">
      <c r="Q683" s="14"/>
      <c r="R683" s="15"/>
      <c r="S683" s="15"/>
      <c r="T683" s="15"/>
      <c r="U683" s="15"/>
      <c r="V683" s="17"/>
      <c r="Y683" s="14"/>
    </row>
    <row r="684">
      <c r="Q684" s="14"/>
      <c r="R684" s="15"/>
      <c r="S684" s="15"/>
      <c r="T684" s="15"/>
      <c r="U684" s="15"/>
      <c r="V684" s="17"/>
      <c r="Y684" s="14"/>
    </row>
    <row r="685">
      <c r="Q685" s="14"/>
      <c r="R685" s="15"/>
      <c r="S685" s="15"/>
      <c r="T685" s="15"/>
      <c r="U685" s="15"/>
      <c r="V685" s="17"/>
      <c r="Y685" s="14"/>
    </row>
    <row r="686">
      <c r="Q686" s="14"/>
      <c r="R686" s="15"/>
      <c r="S686" s="15"/>
      <c r="T686" s="15"/>
      <c r="U686" s="15"/>
      <c r="V686" s="17"/>
      <c r="Y686" s="14"/>
    </row>
    <row r="687">
      <c r="Q687" s="14"/>
      <c r="R687" s="15"/>
      <c r="S687" s="15"/>
      <c r="T687" s="15"/>
      <c r="U687" s="15"/>
      <c r="V687" s="17"/>
      <c r="Y687" s="14"/>
    </row>
    <row r="688">
      <c r="Q688" s="14"/>
      <c r="R688" s="15"/>
      <c r="S688" s="15"/>
      <c r="T688" s="15"/>
      <c r="U688" s="15"/>
      <c r="V688" s="17"/>
      <c r="Y688" s="14"/>
    </row>
    <row r="689">
      <c r="Q689" s="14"/>
      <c r="R689" s="15"/>
      <c r="S689" s="15"/>
      <c r="T689" s="15"/>
      <c r="U689" s="15"/>
      <c r="V689" s="17"/>
      <c r="Y689" s="14"/>
    </row>
    <row r="690">
      <c r="Q690" s="14"/>
      <c r="R690" s="15"/>
      <c r="S690" s="15"/>
      <c r="T690" s="15"/>
      <c r="U690" s="15"/>
      <c r="V690" s="17"/>
      <c r="Y690" s="14"/>
    </row>
    <row r="691">
      <c r="Q691" s="14"/>
      <c r="R691" s="15"/>
      <c r="S691" s="15"/>
      <c r="T691" s="15"/>
      <c r="U691" s="15"/>
      <c r="V691" s="17"/>
      <c r="Y691" s="14"/>
    </row>
    <row r="692">
      <c r="Q692" s="14"/>
      <c r="R692" s="15"/>
      <c r="S692" s="15"/>
      <c r="T692" s="15"/>
      <c r="U692" s="15"/>
      <c r="V692" s="17"/>
      <c r="Y692" s="14"/>
    </row>
    <row r="693">
      <c r="Q693" s="14"/>
      <c r="R693" s="15"/>
      <c r="S693" s="15"/>
      <c r="T693" s="15"/>
      <c r="U693" s="15"/>
      <c r="V693" s="17"/>
      <c r="Y693" s="14"/>
    </row>
    <row r="694">
      <c r="Q694" s="14"/>
      <c r="R694" s="15"/>
      <c r="S694" s="15"/>
      <c r="T694" s="15"/>
      <c r="U694" s="15"/>
      <c r="V694" s="17"/>
      <c r="Y694" s="14"/>
    </row>
    <row r="695">
      <c r="Q695" s="14"/>
      <c r="R695" s="15"/>
      <c r="S695" s="15"/>
      <c r="T695" s="15"/>
      <c r="U695" s="15"/>
      <c r="V695" s="17"/>
      <c r="Y695" s="14"/>
    </row>
    <row r="696">
      <c r="Q696" s="14"/>
      <c r="R696" s="15"/>
      <c r="S696" s="15"/>
      <c r="T696" s="15"/>
      <c r="U696" s="15"/>
      <c r="V696" s="17"/>
      <c r="Y696" s="14"/>
    </row>
    <row r="697">
      <c r="Q697" s="14"/>
      <c r="R697" s="15"/>
      <c r="S697" s="15"/>
      <c r="T697" s="15"/>
      <c r="U697" s="15"/>
      <c r="V697" s="17"/>
      <c r="Y697" s="14"/>
    </row>
    <row r="698">
      <c r="Q698" s="14"/>
      <c r="R698" s="15"/>
      <c r="S698" s="15"/>
      <c r="T698" s="15"/>
      <c r="U698" s="15"/>
      <c r="V698" s="17"/>
      <c r="Y698" s="14"/>
    </row>
    <row r="699">
      <c r="Q699" s="14"/>
      <c r="R699" s="15"/>
      <c r="S699" s="15"/>
      <c r="T699" s="15"/>
      <c r="U699" s="15"/>
      <c r="V699" s="17"/>
      <c r="Y699" s="14"/>
    </row>
    <row r="700">
      <c r="Q700" s="14"/>
      <c r="R700" s="15"/>
      <c r="S700" s="15"/>
      <c r="T700" s="15"/>
      <c r="U700" s="15"/>
      <c r="V700" s="17"/>
      <c r="Y700" s="14"/>
    </row>
    <row r="701">
      <c r="Q701" s="14"/>
      <c r="R701" s="15"/>
      <c r="S701" s="15"/>
      <c r="T701" s="15"/>
      <c r="U701" s="15"/>
      <c r="V701" s="17"/>
      <c r="Y701" s="14"/>
    </row>
    <row r="702">
      <c r="Q702" s="14"/>
      <c r="R702" s="15"/>
      <c r="S702" s="15"/>
      <c r="T702" s="15"/>
      <c r="U702" s="15"/>
      <c r="V702" s="17"/>
      <c r="Y702" s="14"/>
    </row>
    <row r="703">
      <c r="Q703" s="14"/>
      <c r="R703" s="15"/>
      <c r="S703" s="15"/>
      <c r="T703" s="15"/>
      <c r="U703" s="15"/>
      <c r="V703" s="17"/>
      <c r="Y703" s="14"/>
    </row>
    <row r="704">
      <c r="Q704" s="14"/>
      <c r="R704" s="15"/>
      <c r="S704" s="15"/>
      <c r="T704" s="15"/>
      <c r="U704" s="15"/>
      <c r="V704" s="17"/>
      <c r="Y704" s="14"/>
    </row>
    <row r="705">
      <c r="Q705" s="14"/>
      <c r="R705" s="15"/>
      <c r="S705" s="15"/>
      <c r="T705" s="15"/>
      <c r="U705" s="15"/>
      <c r="V705" s="17"/>
      <c r="Y705" s="14"/>
    </row>
    <row r="706">
      <c r="Q706" s="14"/>
      <c r="R706" s="15"/>
      <c r="S706" s="15"/>
      <c r="T706" s="15"/>
      <c r="U706" s="15"/>
      <c r="V706" s="17"/>
      <c r="Y706" s="14"/>
    </row>
    <row r="707">
      <c r="Q707" s="14"/>
      <c r="R707" s="15"/>
      <c r="S707" s="15"/>
      <c r="T707" s="15"/>
      <c r="U707" s="15"/>
      <c r="V707" s="17"/>
      <c r="Y707" s="14"/>
    </row>
    <row r="708">
      <c r="Q708" s="14"/>
      <c r="R708" s="15"/>
      <c r="S708" s="15"/>
      <c r="T708" s="15"/>
      <c r="U708" s="15"/>
      <c r="V708" s="17"/>
      <c r="Y708" s="14"/>
    </row>
    <row r="709">
      <c r="Q709" s="14"/>
      <c r="R709" s="15"/>
      <c r="S709" s="15"/>
      <c r="T709" s="15"/>
      <c r="U709" s="15"/>
      <c r="V709" s="17"/>
      <c r="Y709" s="14"/>
    </row>
    <row r="710">
      <c r="Q710" s="14"/>
      <c r="R710" s="15"/>
      <c r="S710" s="15"/>
      <c r="T710" s="15"/>
      <c r="U710" s="15"/>
      <c r="V710" s="17"/>
      <c r="Y710" s="14"/>
    </row>
    <row r="711">
      <c r="Q711" s="14"/>
      <c r="R711" s="15"/>
      <c r="S711" s="15"/>
      <c r="T711" s="15"/>
      <c r="U711" s="15"/>
      <c r="V711" s="17"/>
      <c r="Y711" s="14"/>
    </row>
    <row r="712">
      <c r="Q712" s="14"/>
      <c r="R712" s="15"/>
      <c r="S712" s="15"/>
      <c r="T712" s="15"/>
      <c r="U712" s="15"/>
      <c r="V712" s="17"/>
      <c r="Y712" s="14"/>
    </row>
    <row r="713">
      <c r="Q713" s="14"/>
      <c r="R713" s="15"/>
      <c r="S713" s="15"/>
      <c r="T713" s="15"/>
      <c r="U713" s="15"/>
      <c r="V713" s="17"/>
      <c r="Y713" s="14"/>
    </row>
    <row r="714">
      <c r="Q714" s="14"/>
      <c r="R714" s="15"/>
      <c r="S714" s="15"/>
      <c r="T714" s="15"/>
      <c r="U714" s="15"/>
      <c r="V714" s="17"/>
      <c r="Y714" s="14"/>
    </row>
    <row r="715">
      <c r="Q715" s="14"/>
      <c r="R715" s="15"/>
      <c r="S715" s="15"/>
      <c r="T715" s="15"/>
      <c r="U715" s="15"/>
      <c r="V715" s="17"/>
      <c r="Y715" s="14"/>
    </row>
    <row r="716">
      <c r="Q716" s="14"/>
      <c r="R716" s="15"/>
      <c r="S716" s="15"/>
      <c r="T716" s="15"/>
      <c r="U716" s="15"/>
      <c r="V716" s="17"/>
      <c r="Y716" s="14"/>
    </row>
    <row r="717">
      <c r="Q717" s="14"/>
      <c r="R717" s="15"/>
      <c r="S717" s="15"/>
      <c r="T717" s="15"/>
      <c r="U717" s="15"/>
      <c r="V717" s="17"/>
      <c r="Y717" s="14"/>
    </row>
    <row r="718">
      <c r="Q718" s="14"/>
      <c r="R718" s="15"/>
      <c r="S718" s="15"/>
      <c r="T718" s="15"/>
      <c r="U718" s="15"/>
      <c r="V718" s="17"/>
      <c r="Y718" s="14"/>
    </row>
    <row r="719">
      <c r="Q719" s="14"/>
      <c r="R719" s="15"/>
      <c r="S719" s="15"/>
      <c r="T719" s="15"/>
      <c r="U719" s="15"/>
      <c r="V719" s="17"/>
      <c r="Y719" s="14"/>
    </row>
    <row r="720">
      <c r="Q720" s="14"/>
      <c r="R720" s="15"/>
      <c r="S720" s="15"/>
      <c r="T720" s="15"/>
      <c r="U720" s="15"/>
      <c r="V720" s="17"/>
      <c r="Y720" s="14"/>
    </row>
    <row r="721">
      <c r="Q721" s="14"/>
      <c r="R721" s="15"/>
      <c r="S721" s="15"/>
      <c r="T721" s="15"/>
      <c r="U721" s="15"/>
      <c r="V721" s="17"/>
      <c r="Y721" s="14"/>
    </row>
    <row r="722">
      <c r="Q722" s="14"/>
      <c r="R722" s="15"/>
      <c r="S722" s="15"/>
      <c r="T722" s="15"/>
      <c r="U722" s="15"/>
      <c r="V722" s="17"/>
      <c r="Y722" s="14"/>
    </row>
    <row r="723">
      <c r="Q723" s="14"/>
      <c r="R723" s="15"/>
      <c r="S723" s="15"/>
      <c r="T723" s="15"/>
      <c r="U723" s="15"/>
      <c r="V723" s="17"/>
      <c r="Y723" s="14"/>
    </row>
    <row r="724">
      <c r="Q724" s="14"/>
      <c r="R724" s="15"/>
      <c r="S724" s="15"/>
      <c r="T724" s="15"/>
      <c r="U724" s="15"/>
      <c r="V724" s="17"/>
      <c r="Y724" s="14"/>
    </row>
    <row r="725">
      <c r="Q725" s="14"/>
      <c r="R725" s="15"/>
      <c r="S725" s="15"/>
      <c r="T725" s="15"/>
      <c r="U725" s="15"/>
      <c r="V725" s="17"/>
      <c r="Y725" s="14"/>
    </row>
    <row r="726">
      <c r="Q726" s="14"/>
      <c r="R726" s="15"/>
      <c r="S726" s="15"/>
      <c r="T726" s="15"/>
      <c r="U726" s="15"/>
      <c r="V726" s="17"/>
      <c r="Y726" s="14"/>
    </row>
    <row r="727">
      <c r="Q727" s="14"/>
      <c r="R727" s="15"/>
      <c r="S727" s="15"/>
      <c r="T727" s="15"/>
      <c r="U727" s="15"/>
      <c r="V727" s="17"/>
      <c r="Y727" s="14"/>
    </row>
    <row r="728">
      <c r="Q728" s="14"/>
      <c r="R728" s="15"/>
      <c r="S728" s="15"/>
      <c r="T728" s="15"/>
      <c r="U728" s="15"/>
      <c r="V728" s="17"/>
      <c r="Y728" s="14"/>
    </row>
    <row r="729">
      <c r="Q729" s="14"/>
      <c r="R729" s="15"/>
      <c r="S729" s="15"/>
      <c r="T729" s="15"/>
      <c r="U729" s="15"/>
      <c r="V729" s="17"/>
      <c r="Y729" s="14"/>
    </row>
    <row r="730">
      <c r="Q730" s="14"/>
      <c r="R730" s="15"/>
      <c r="S730" s="15"/>
      <c r="T730" s="15"/>
      <c r="U730" s="15"/>
      <c r="V730" s="17"/>
      <c r="Y730" s="14"/>
    </row>
    <row r="731">
      <c r="Q731" s="14"/>
      <c r="R731" s="15"/>
      <c r="S731" s="15"/>
      <c r="T731" s="15"/>
      <c r="U731" s="15"/>
      <c r="V731" s="17"/>
      <c r="Y731" s="14"/>
    </row>
    <row r="732">
      <c r="Q732" s="14"/>
      <c r="R732" s="15"/>
      <c r="S732" s="15"/>
      <c r="T732" s="15"/>
      <c r="U732" s="15"/>
      <c r="V732" s="17"/>
      <c r="Y732" s="14"/>
    </row>
    <row r="733">
      <c r="Q733" s="14"/>
      <c r="R733" s="15"/>
      <c r="S733" s="15"/>
      <c r="T733" s="15"/>
      <c r="U733" s="15"/>
      <c r="V733" s="17"/>
      <c r="Y733" s="14"/>
    </row>
    <row r="734">
      <c r="Q734" s="14"/>
      <c r="R734" s="15"/>
      <c r="S734" s="15"/>
      <c r="T734" s="15"/>
      <c r="U734" s="15"/>
      <c r="V734" s="17"/>
      <c r="Y734" s="14"/>
    </row>
    <row r="735">
      <c r="Q735" s="14"/>
      <c r="R735" s="15"/>
      <c r="S735" s="15"/>
      <c r="T735" s="15"/>
      <c r="U735" s="15"/>
      <c r="V735" s="17"/>
      <c r="Y735" s="14"/>
    </row>
    <row r="736">
      <c r="Q736" s="14"/>
      <c r="R736" s="15"/>
      <c r="S736" s="15"/>
      <c r="T736" s="15"/>
      <c r="U736" s="15"/>
      <c r="V736" s="17"/>
      <c r="Y736" s="14"/>
    </row>
    <row r="737">
      <c r="Q737" s="14"/>
      <c r="R737" s="15"/>
      <c r="S737" s="15"/>
      <c r="T737" s="15"/>
      <c r="U737" s="15"/>
      <c r="V737" s="17"/>
      <c r="Y737" s="14"/>
    </row>
    <row r="738">
      <c r="Q738" s="14"/>
      <c r="R738" s="15"/>
      <c r="S738" s="15"/>
      <c r="T738" s="15"/>
      <c r="U738" s="15"/>
      <c r="V738" s="17"/>
      <c r="Y738" s="14"/>
    </row>
    <row r="739">
      <c r="Q739" s="14"/>
      <c r="R739" s="15"/>
      <c r="S739" s="15"/>
      <c r="T739" s="15"/>
      <c r="U739" s="15"/>
      <c r="V739" s="17"/>
      <c r="Y739" s="14"/>
    </row>
    <row r="740">
      <c r="Q740" s="14"/>
      <c r="R740" s="15"/>
      <c r="S740" s="15"/>
      <c r="T740" s="15"/>
      <c r="U740" s="15"/>
      <c r="V740" s="17"/>
      <c r="Y740" s="14"/>
    </row>
    <row r="741">
      <c r="Q741" s="14"/>
      <c r="R741" s="15"/>
      <c r="S741" s="15"/>
      <c r="T741" s="15"/>
      <c r="U741" s="15"/>
      <c r="V741" s="17"/>
      <c r="Y741" s="14"/>
    </row>
    <row r="742">
      <c r="Q742" s="14"/>
      <c r="R742" s="15"/>
      <c r="S742" s="15"/>
      <c r="T742" s="15"/>
      <c r="U742" s="15"/>
      <c r="V742" s="17"/>
      <c r="Y742" s="14"/>
    </row>
    <row r="743">
      <c r="Q743" s="14"/>
      <c r="R743" s="15"/>
      <c r="S743" s="15"/>
      <c r="T743" s="15"/>
      <c r="U743" s="15"/>
      <c r="V743" s="17"/>
      <c r="Y743" s="14"/>
    </row>
    <row r="744">
      <c r="Q744" s="14"/>
      <c r="R744" s="15"/>
      <c r="S744" s="15"/>
      <c r="T744" s="15"/>
      <c r="U744" s="15"/>
      <c r="V744" s="17"/>
      <c r="Y744" s="14"/>
    </row>
    <row r="745">
      <c r="Q745" s="14"/>
      <c r="R745" s="15"/>
      <c r="S745" s="15"/>
      <c r="T745" s="15"/>
      <c r="U745" s="15"/>
      <c r="V745" s="17"/>
      <c r="Y745" s="14"/>
    </row>
    <row r="746">
      <c r="Q746" s="14"/>
      <c r="R746" s="15"/>
      <c r="S746" s="15"/>
      <c r="T746" s="15"/>
      <c r="U746" s="15"/>
      <c r="V746" s="17"/>
      <c r="Y746" s="14"/>
    </row>
    <row r="747">
      <c r="Q747" s="14"/>
      <c r="R747" s="15"/>
      <c r="S747" s="15"/>
      <c r="T747" s="15"/>
      <c r="U747" s="15"/>
      <c r="V747" s="17"/>
      <c r="Y747" s="14"/>
    </row>
    <row r="748">
      <c r="Q748" s="14"/>
      <c r="R748" s="15"/>
      <c r="S748" s="15"/>
      <c r="T748" s="15"/>
      <c r="U748" s="15"/>
      <c r="V748" s="17"/>
      <c r="Y748" s="14"/>
    </row>
    <row r="749">
      <c r="Q749" s="14"/>
      <c r="R749" s="15"/>
      <c r="S749" s="15"/>
      <c r="T749" s="15"/>
      <c r="U749" s="15"/>
      <c r="V749" s="17"/>
      <c r="Y749" s="14"/>
    </row>
    <row r="750">
      <c r="Q750" s="14"/>
      <c r="R750" s="15"/>
      <c r="S750" s="15"/>
      <c r="T750" s="15"/>
      <c r="U750" s="15"/>
      <c r="V750" s="17"/>
      <c r="Y750" s="14"/>
    </row>
    <row r="751">
      <c r="Q751" s="14"/>
      <c r="R751" s="15"/>
      <c r="S751" s="15"/>
      <c r="T751" s="15"/>
      <c r="U751" s="15"/>
      <c r="V751" s="17"/>
      <c r="Y751" s="14"/>
    </row>
    <row r="752">
      <c r="Q752" s="14"/>
      <c r="R752" s="15"/>
      <c r="S752" s="15"/>
      <c r="T752" s="15"/>
      <c r="U752" s="15"/>
      <c r="V752" s="17"/>
      <c r="Y752" s="14"/>
    </row>
    <row r="753">
      <c r="Q753" s="14"/>
      <c r="R753" s="15"/>
      <c r="S753" s="15"/>
      <c r="T753" s="15"/>
      <c r="U753" s="15"/>
      <c r="V753" s="17"/>
      <c r="Y753" s="14"/>
    </row>
    <row r="754">
      <c r="Q754" s="14"/>
      <c r="R754" s="15"/>
      <c r="S754" s="15"/>
      <c r="T754" s="15"/>
      <c r="U754" s="15"/>
      <c r="V754" s="17"/>
      <c r="Y754" s="14"/>
    </row>
    <row r="755">
      <c r="Q755" s="14"/>
      <c r="R755" s="15"/>
      <c r="S755" s="15"/>
      <c r="T755" s="15"/>
      <c r="U755" s="15"/>
      <c r="V755" s="17"/>
      <c r="Y755" s="14"/>
    </row>
    <row r="756">
      <c r="Q756" s="14"/>
      <c r="R756" s="15"/>
      <c r="S756" s="15"/>
      <c r="T756" s="15"/>
      <c r="U756" s="15"/>
      <c r="V756" s="17"/>
      <c r="Y756" s="14"/>
    </row>
    <row r="757">
      <c r="Q757" s="14"/>
      <c r="R757" s="15"/>
      <c r="S757" s="15"/>
      <c r="T757" s="15"/>
      <c r="U757" s="15"/>
      <c r="V757" s="17"/>
      <c r="Y757" s="14"/>
    </row>
    <row r="758">
      <c r="Q758" s="14"/>
      <c r="R758" s="15"/>
      <c r="S758" s="15"/>
      <c r="T758" s="15"/>
      <c r="U758" s="15"/>
      <c r="V758" s="17"/>
      <c r="Y758" s="14"/>
    </row>
    <row r="759">
      <c r="Q759" s="14"/>
      <c r="R759" s="15"/>
      <c r="S759" s="15"/>
      <c r="T759" s="15"/>
      <c r="U759" s="15"/>
      <c r="V759" s="17"/>
      <c r="Y759" s="14"/>
    </row>
    <row r="760">
      <c r="Q760" s="14"/>
      <c r="R760" s="15"/>
      <c r="S760" s="15"/>
      <c r="T760" s="15"/>
      <c r="U760" s="15"/>
      <c r="V760" s="17"/>
      <c r="Y760" s="14"/>
    </row>
    <row r="761">
      <c r="Q761" s="14"/>
      <c r="R761" s="15"/>
      <c r="S761" s="15"/>
      <c r="T761" s="15"/>
      <c r="U761" s="15"/>
      <c r="V761" s="17"/>
      <c r="Y761" s="14"/>
    </row>
    <row r="762">
      <c r="Q762" s="14"/>
      <c r="R762" s="15"/>
      <c r="S762" s="15"/>
      <c r="T762" s="15"/>
      <c r="U762" s="15"/>
      <c r="V762" s="17"/>
      <c r="Y762" s="14"/>
    </row>
    <row r="763">
      <c r="Q763" s="14"/>
      <c r="R763" s="15"/>
      <c r="S763" s="15"/>
      <c r="T763" s="15"/>
      <c r="U763" s="15"/>
      <c r="V763" s="17"/>
      <c r="Y763" s="14"/>
    </row>
    <row r="764">
      <c r="Q764" s="14"/>
      <c r="R764" s="15"/>
      <c r="S764" s="15"/>
      <c r="T764" s="15"/>
      <c r="U764" s="15"/>
      <c r="V764" s="17"/>
      <c r="Y764" s="14"/>
    </row>
    <row r="765">
      <c r="Q765" s="14"/>
      <c r="R765" s="15"/>
      <c r="S765" s="15"/>
      <c r="T765" s="15"/>
      <c r="U765" s="15"/>
      <c r="V765" s="17"/>
      <c r="Y765" s="14"/>
    </row>
    <row r="766">
      <c r="Q766" s="14"/>
      <c r="R766" s="15"/>
      <c r="S766" s="15"/>
      <c r="T766" s="15"/>
      <c r="U766" s="15"/>
      <c r="V766" s="17"/>
      <c r="Y766" s="14"/>
    </row>
    <row r="767">
      <c r="Q767" s="14"/>
      <c r="R767" s="15"/>
      <c r="S767" s="15"/>
      <c r="T767" s="15"/>
      <c r="U767" s="15"/>
      <c r="V767" s="17"/>
      <c r="Y767" s="14"/>
    </row>
    <row r="768">
      <c r="Q768" s="14"/>
      <c r="R768" s="15"/>
      <c r="S768" s="15"/>
      <c r="T768" s="15"/>
      <c r="U768" s="15"/>
      <c r="V768" s="17"/>
      <c r="Y768" s="14"/>
    </row>
    <row r="769">
      <c r="Q769" s="14"/>
      <c r="R769" s="15"/>
      <c r="S769" s="15"/>
      <c r="T769" s="15"/>
      <c r="U769" s="15"/>
      <c r="V769" s="17"/>
      <c r="Y769" s="14"/>
    </row>
    <row r="770">
      <c r="Q770" s="14"/>
      <c r="R770" s="15"/>
      <c r="S770" s="15"/>
      <c r="T770" s="15"/>
      <c r="U770" s="15"/>
      <c r="V770" s="17"/>
      <c r="Y770" s="14"/>
    </row>
    <row r="771">
      <c r="Q771" s="14"/>
      <c r="R771" s="15"/>
      <c r="S771" s="15"/>
      <c r="T771" s="15"/>
      <c r="U771" s="15"/>
      <c r="V771" s="17"/>
      <c r="Y771" s="14"/>
    </row>
    <row r="772">
      <c r="Q772" s="14"/>
      <c r="R772" s="15"/>
      <c r="S772" s="15"/>
      <c r="T772" s="15"/>
      <c r="U772" s="15"/>
      <c r="V772" s="17"/>
      <c r="Y772" s="14"/>
    </row>
    <row r="773">
      <c r="Q773" s="14"/>
      <c r="R773" s="15"/>
      <c r="S773" s="15"/>
      <c r="T773" s="15"/>
      <c r="U773" s="15"/>
      <c r="V773" s="17"/>
      <c r="Y773" s="14"/>
    </row>
    <row r="774">
      <c r="Q774" s="14"/>
      <c r="R774" s="15"/>
      <c r="S774" s="15"/>
      <c r="T774" s="15"/>
      <c r="U774" s="15"/>
      <c r="V774" s="17"/>
      <c r="Y774" s="14"/>
    </row>
    <row r="775">
      <c r="Q775" s="14"/>
      <c r="R775" s="15"/>
      <c r="S775" s="15"/>
      <c r="T775" s="15"/>
      <c r="U775" s="15"/>
      <c r="V775" s="17"/>
      <c r="Y775" s="14"/>
    </row>
    <row r="776">
      <c r="Q776" s="14"/>
      <c r="R776" s="15"/>
      <c r="S776" s="15"/>
      <c r="T776" s="15"/>
      <c r="U776" s="15"/>
      <c r="V776" s="17"/>
      <c r="Y776" s="14"/>
    </row>
    <row r="777">
      <c r="Q777" s="14"/>
      <c r="R777" s="15"/>
      <c r="S777" s="15"/>
      <c r="T777" s="15"/>
      <c r="U777" s="15"/>
      <c r="V777" s="17"/>
      <c r="Y777" s="14"/>
    </row>
    <row r="778">
      <c r="Q778" s="14"/>
      <c r="R778" s="15"/>
      <c r="S778" s="15"/>
      <c r="T778" s="15"/>
      <c r="U778" s="15"/>
      <c r="V778" s="17"/>
      <c r="Y778" s="14"/>
    </row>
    <row r="779">
      <c r="Q779" s="14"/>
      <c r="R779" s="15"/>
      <c r="S779" s="15"/>
      <c r="T779" s="15"/>
      <c r="U779" s="15"/>
      <c r="V779" s="17"/>
      <c r="Y779" s="14"/>
    </row>
    <row r="780">
      <c r="Q780" s="14"/>
      <c r="R780" s="15"/>
      <c r="S780" s="15"/>
      <c r="T780" s="15"/>
      <c r="U780" s="15"/>
      <c r="V780" s="17"/>
      <c r="Y780" s="14"/>
    </row>
    <row r="781">
      <c r="Q781" s="14"/>
      <c r="R781" s="15"/>
      <c r="S781" s="15"/>
      <c r="T781" s="15"/>
      <c r="U781" s="15"/>
      <c r="V781" s="17"/>
      <c r="Y781" s="14"/>
    </row>
    <row r="782">
      <c r="Q782" s="14"/>
      <c r="R782" s="15"/>
      <c r="S782" s="15"/>
      <c r="T782" s="15"/>
      <c r="U782" s="15"/>
      <c r="V782" s="17"/>
      <c r="Y782" s="14"/>
    </row>
    <row r="783">
      <c r="Q783" s="14"/>
      <c r="R783" s="15"/>
      <c r="S783" s="15"/>
      <c r="T783" s="15"/>
      <c r="U783" s="15"/>
      <c r="V783" s="17"/>
      <c r="Y783" s="14"/>
    </row>
    <row r="784">
      <c r="Q784" s="14"/>
      <c r="R784" s="15"/>
      <c r="S784" s="15"/>
      <c r="T784" s="15"/>
      <c r="U784" s="15"/>
      <c r="V784" s="17"/>
      <c r="Y784" s="14"/>
    </row>
    <row r="785">
      <c r="Q785" s="14"/>
      <c r="R785" s="15"/>
      <c r="S785" s="15"/>
      <c r="T785" s="15"/>
      <c r="U785" s="15"/>
      <c r="V785" s="17"/>
      <c r="Y785" s="14"/>
    </row>
    <row r="786">
      <c r="Q786" s="14"/>
      <c r="R786" s="15"/>
      <c r="S786" s="15"/>
      <c r="T786" s="15"/>
      <c r="U786" s="15"/>
      <c r="V786" s="17"/>
      <c r="Y786" s="14"/>
    </row>
    <row r="787">
      <c r="Q787" s="14"/>
      <c r="R787" s="15"/>
      <c r="S787" s="15"/>
      <c r="T787" s="15"/>
      <c r="U787" s="15"/>
      <c r="V787" s="17"/>
      <c r="Y787" s="14"/>
    </row>
    <row r="788">
      <c r="Q788" s="14"/>
      <c r="R788" s="15"/>
      <c r="S788" s="15"/>
      <c r="T788" s="15"/>
      <c r="U788" s="15"/>
      <c r="V788" s="17"/>
      <c r="Y788" s="14"/>
    </row>
    <row r="789">
      <c r="Q789" s="14"/>
      <c r="R789" s="15"/>
      <c r="S789" s="15"/>
      <c r="T789" s="15"/>
      <c r="U789" s="15"/>
      <c r="V789" s="17"/>
      <c r="Y789" s="14"/>
    </row>
    <row r="790">
      <c r="Q790" s="14"/>
      <c r="R790" s="15"/>
      <c r="S790" s="15"/>
      <c r="T790" s="15"/>
      <c r="U790" s="15"/>
      <c r="V790" s="17"/>
      <c r="Y790" s="14"/>
    </row>
    <row r="791">
      <c r="Q791" s="14"/>
      <c r="R791" s="15"/>
      <c r="S791" s="15"/>
      <c r="T791" s="15"/>
      <c r="U791" s="15"/>
      <c r="V791" s="17"/>
      <c r="Y791" s="14"/>
    </row>
    <row r="792">
      <c r="Q792" s="14"/>
      <c r="R792" s="15"/>
      <c r="S792" s="15"/>
      <c r="T792" s="15"/>
      <c r="U792" s="15"/>
      <c r="V792" s="17"/>
      <c r="Y792" s="14"/>
    </row>
    <row r="793">
      <c r="Q793" s="14"/>
      <c r="R793" s="15"/>
      <c r="S793" s="15"/>
      <c r="T793" s="15"/>
      <c r="U793" s="15"/>
      <c r="V793" s="17"/>
      <c r="Y793" s="14"/>
    </row>
    <row r="794">
      <c r="Q794" s="14"/>
      <c r="R794" s="15"/>
      <c r="S794" s="15"/>
      <c r="T794" s="15"/>
      <c r="U794" s="15"/>
      <c r="V794" s="17"/>
      <c r="Y794" s="14"/>
    </row>
    <row r="795">
      <c r="Q795" s="14"/>
      <c r="R795" s="15"/>
      <c r="S795" s="15"/>
      <c r="T795" s="15"/>
      <c r="U795" s="15"/>
      <c r="V795" s="17"/>
      <c r="Y795" s="14"/>
    </row>
    <row r="796">
      <c r="Q796" s="14"/>
      <c r="R796" s="15"/>
      <c r="S796" s="15"/>
      <c r="T796" s="15"/>
      <c r="U796" s="15"/>
      <c r="V796" s="17"/>
      <c r="Y796" s="14"/>
    </row>
    <row r="797">
      <c r="Q797" s="14"/>
      <c r="R797" s="15"/>
      <c r="S797" s="15"/>
      <c r="T797" s="15"/>
      <c r="U797" s="15"/>
      <c r="V797" s="17"/>
      <c r="Y797" s="14"/>
    </row>
    <row r="798">
      <c r="Q798" s="14"/>
      <c r="R798" s="15"/>
      <c r="S798" s="15"/>
      <c r="T798" s="15"/>
      <c r="U798" s="15"/>
      <c r="V798" s="17"/>
      <c r="Y798" s="14"/>
    </row>
    <row r="799">
      <c r="Q799" s="14"/>
      <c r="R799" s="15"/>
      <c r="S799" s="15"/>
      <c r="T799" s="15"/>
      <c r="U799" s="15"/>
      <c r="V799" s="17"/>
      <c r="Y799" s="14"/>
    </row>
    <row r="800">
      <c r="Q800" s="14"/>
      <c r="R800" s="15"/>
      <c r="S800" s="15"/>
      <c r="T800" s="15"/>
      <c r="U800" s="15"/>
      <c r="V800" s="17"/>
      <c r="Y800" s="14"/>
    </row>
    <row r="801">
      <c r="Q801" s="14"/>
      <c r="R801" s="15"/>
      <c r="S801" s="15"/>
      <c r="T801" s="15"/>
      <c r="U801" s="15"/>
      <c r="V801" s="17"/>
      <c r="Y801" s="14"/>
    </row>
    <row r="802">
      <c r="Q802" s="14"/>
      <c r="R802" s="15"/>
      <c r="S802" s="15"/>
      <c r="T802" s="15"/>
      <c r="U802" s="15"/>
      <c r="V802" s="17"/>
      <c r="Y802" s="14"/>
    </row>
    <row r="803">
      <c r="Q803" s="14"/>
      <c r="R803" s="15"/>
      <c r="S803" s="15"/>
      <c r="T803" s="15"/>
      <c r="U803" s="15"/>
      <c r="V803" s="17"/>
      <c r="Y803" s="14"/>
    </row>
    <row r="804">
      <c r="Q804" s="14"/>
      <c r="R804" s="15"/>
      <c r="S804" s="15"/>
      <c r="T804" s="15"/>
      <c r="U804" s="15"/>
      <c r="V804" s="17"/>
      <c r="Y804" s="14"/>
    </row>
    <row r="805">
      <c r="Q805" s="14"/>
      <c r="R805" s="15"/>
      <c r="S805" s="15"/>
      <c r="T805" s="15"/>
      <c r="U805" s="15"/>
      <c r="V805" s="17"/>
      <c r="Y805" s="14"/>
    </row>
    <row r="806">
      <c r="Q806" s="14"/>
      <c r="R806" s="15"/>
      <c r="S806" s="15"/>
      <c r="T806" s="15"/>
      <c r="U806" s="15"/>
      <c r="V806" s="17"/>
      <c r="Y806" s="14"/>
    </row>
    <row r="807">
      <c r="Q807" s="14"/>
      <c r="R807" s="15"/>
      <c r="S807" s="15"/>
      <c r="T807" s="15"/>
      <c r="U807" s="15"/>
      <c r="V807" s="17"/>
      <c r="Y807" s="14"/>
    </row>
    <row r="808">
      <c r="Q808" s="14"/>
      <c r="R808" s="15"/>
      <c r="S808" s="15"/>
      <c r="T808" s="15"/>
      <c r="U808" s="15"/>
      <c r="V808" s="17"/>
      <c r="Y808" s="14"/>
    </row>
    <row r="809">
      <c r="Q809" s="14"/>
      <c r="R809" s="15"/>
      <c r="S809" s="15"/>
      <c r="T809" s="15"/>
      <c r="U809" s="15"/>
      <c r="V809" s="17"/>
      <c r="Y809" s="14"/>
    </row>
    <row r="810">
      <c r="Q810" s="14"/>
      <c r="R810" s="15"/>
      <c r="S810" s="15"/>
      <c r="T810" s="15"/>
      <c r="U810" s="15"/>
      <c r="V810" s="17"/>
      <c r="Y810" s="14"/>
    </row>
    <row r="811">
      <c r="Q811" s="14"/>
      <c r="R811" s="15"/>
      <c r="S811" s="15"/>
      <c r="T811" s="15"/>
      <c r="U811" s="15"/>
      <c r="V811" s="17"/>
      <c r="Y811" s="14"/>
    </row>
    <row r="812">
      <c r="Q812" s="14"/>
      <c r="R812" s="15"/>
      <c r="S812" s="15"/>
      <c r="T812" s="15"/>
      <c r="U812" s="15"/>
      <c r="V812" s="17"/>
      <c r="Y812" s="14"/>
    </row>
    <row r="813">
      <c r="Q813" s="14"/>
      <c r="R813" s="15"/>
      <c r="S813" s="15"/>
      <c r="T813" s="15"/>
      <c r="U813" s="15"/>
      <c r="V813" s="17"/>
      <c r="Y813" s="14"/>
    </row>
    <row r="814">
      <c r="Q814" s="14"/>
      <c r="R814" s="15"/>
      <c r="S814" s="15"/>
      <c r="T814" s="15"/>
      <c r="U814" s="15"/>
      <c r="V814" s="17"/>
      <c r="Y814" s="14"/>
    </row>
    <row r="815">
      <c r="Q815" s="14"/>
      <c r="R815" s="15"/>
      <c r="S815" s="15"/>
      <c r="T815" s="15"/>
      <c r="U815" s="15"/>
      <c r="V815" s="17"/>
      <c r="Y815" s="14"/>
    </row>
    <row r="816">
      <c r="Q816" s="14"/>
      <c r="R816" s="15"/>
      <c r="S816" s="15"/>
      <c r="T816" s="15"/>
      <c r="U816" s="15"/>
      <c r="V816" s="17"/>
      <c r="Y816" s="14"/>
    </row>
    <row r="817">
      <c r="Q817" s="14"/>
      <c r="R817" s="15"/>
      <c r="S817" s="15"/>
      <c r="T817" s="15"/>
      <c r="U817" s="15"/>
      <c r="V817" s="17"/>
      <c r="Y817" s="14"/>
    </row>
    <row r="818">
      <c r="Q818" s="14"/>
      <c r="R818" s="15"/>
      <c r="S818" s="15"/>
      <c r="T818" s="15"/>
      <c r="U818" s="15"/>
      <c r="V818" s="17"/>
      <c r="Y818" s="14"/>
    </row>
    <row r="819">
      <c r="Q819" s="14"/>
      <c r="R819" s="15"/>
      <c r="S819" s="15"/>
      <c r="T819" s="15"/>
      <c r="U819" s="15"/>
      <c r="V819" s="17"/>
      <c r="Y819" s="14"/>
    </row>
    <row r="820">
      <c r="Q820" s="14"/>
      <c r="R820" s="15"/>
      <c r="S820" s="15"/>
      <c r="T820" s="15"/>
      <c r="U820" s="15"/>
      <c r="V820" s="17"/>
      <c r="Y820" s="14"/>
    </row>
    <row r="821">
      <c r="Q821" s="14"/>
      <c r="R821" s="15"/>
      <c r="S821" s="15"/>
      <c r="T821" s="15"/>
      <c r="U821" s="15"/>
      <c r="V821" s="17"/>
      <c r="Y821" s="14"/>
    </row>
    <row r="822">
      <c r="Q822" s="14"/>
      <c r="R822" s="15"/>
      <c r="S822" s="15"/>
      <c r="T822" s="15"/>
      <c r="U822" s="15"/>
      <c r="V822" s="17"/>
      <c r="Y822" s="14"/>
    </row>
    <row r="823">
      <c r="Q823" s="14"/>
      <c r="R823" s="15"/>
      <c r="S823" s="15"/>
      <c r="T823" s="15"/>
      <c r="U823" s="15"/>
      <c r="V823" s="17"/>
      <c r="Y823" s="14"/>
    </row>
    <row r="824">
      <c r="Q824" s="14"/>
      <c r="R824" s="15"/>
      <c r="S824" s="15"/>
      <c r="T824" s="15"/>
      <c r="U824" s="15"/>
      <c r="V824" s="17"/>
      <c r="Y824" s="14"/>
    </row>
    <row r="825">
      <c r="Q825" s="14"/>
      <c r="R825" s="15"/>
      <c r="S825" s="15"/>
      <c r="T825" s="15"/>
      <c r="U825" s="15"/>
      <c r="V825" s="17"/>
      <c r="Y825" s="14"/>
    </row>
    <row r="826">
      <c r="Q826" s="14"/>
      <c r="R826" s="15"/>
      <c r="S826" s="15"/>
      <c r="T826" s="15"/>
      <c r="U826" s="15"/>
      <c r="V826" s="17"/>
      <c r="Y826" s="14"/>
    </row>
    <row r="827">
      <c r="Q827" s="14"/>
      <c r="R827" s="15"/>
      <c r="S827" s="15"/>
      <c r="T827" s="15"/>
      <c r="U827" s="15"/>
      <c r="V827" s="17"/>
      <c r="Y827" s="14"/>
    </row>
    <row r="828">
      <c r="Q828" s="14"/>
      <c r="R828" s="15"/>
      <c r="S828" s="15"/>
      <c r="T828" s="15"/>
      <c r="U828" s="15"/>
      <c r="V828" s="17"/>
      <c r="Y828" s="14"/>
    </row>
    <row r="829">
      <c r="Q829" s="14"/>
      <c r="R829" s="15"/>
      <c r="S829" s="15"/>
      <c r="T829" s="15"/>
      <c r="U829" s="15"/>
      <c r="V829" s="17"/>
      <c r="Y829" s="14"/>
    </row>
    <row r="830">
      <c r="Q830" s="14"/>
      <c r="R830" s="15"/>
      <c r="S830" s="15"/>
      <c r="T830" s="15"/>
      <c r="U830" s="15"/>
      <c r="V830" s="17"/>
      <c r="Y830" s="14"/>
    </row>
    <row r="831">
      <c r="Q831" s="14"/>
      <c r="R831" s="15"/>
      <c r="S831" s="15"/>
      <c r="T831" s="15"/>
      <c r="U831" s="15"/>
      <c r="V831" s="17"/>
      <c r="Y831" s="14"/>
    </row>
    <row r="832">
      <c r="Q832" s="14"/>
      <c r="R832" s="15"/>
      <c r="S832" s="15"/>
      <c r="T832" s="15"/>
      <c r="U832" s="15"/>
      <c r="V832" s="17"/>
      <c r="Y832" s="14"/>
    </row>
    <row r="833">
      <c r="Q833" s="14"/>
      <c r="R833" s="15"/>
      <c r="S833" s="15"/>
      <c r="T833" s="15"/>
      <c r="U833" s="15"/>
      <c r="V833" s="17"/>
      <c r="Y833" s="14"/>
    </row>
    <row r="834">
      <c r="Q834" s="14"/>
      <c r="R834" s="15"/>
      <c r="S834" s="15"/>
      <c r="T834" s="15"/>
      <c r="U834" s="15"/>
      <c r="V834" s="17"/>
      <c r="Y834" s="14"/>
    </row>
    <row r="835">
      <c r="Q835" s="14"/>
      <c r="R835" s="15"/>
      <c r="S835" s="15"/>
      <c r="T835" s="15"/>
      <c r="U835" s="15"/>
      <c r="V835" s="17"/>
      <c r="Y835" s="14"/>
    </row>
    <row r="836">
      <c r="Q836" s="14"/>
      <c r="R836" s="15"/>
      <c r="S836" s="15"/>
      <c r="T836" s="15"/>
      <c r="U836" s="15"/>
      <c r="V836" s="17"/>
      <c r="Y836" s="14"/>
    </row>
    <row r="837">
      <c r="Q837" s="14"/>
      <c r="R837" s="15"/>
      <c r="S837" s="15"/>
      <c r="T837" s="15"/>
      <c r="U837" s="15"/>
      <c r="V837" s="17"/>
      <c r="Y837" s="14"/>
    </row>
    <row r="838">
      <c r="Q838" s="14"/>
      <c r="R838" s="15"/>
      <c r="S838" s="15"/>
      <c r="T838" s="15"/>
      <c r="U838" s="15"/>
      <c r="V838" s="17"/>
      <c r="Y838" s="14"/>
    </row>
    <row r="839">
      <c r="Q839" s="14"/>
      <c r="R839" s="15"/>
      <c r="S839" s="15"/>
      <c r="T839" s="15"/>
      <c r="U839" s="15"/>
      <c r="V839" s="17"/>
      <c r="Y839" s="14"/>
    </row>
    <row r="840">
      <c r="Q840" s="14"/>
      <c r="R840" s="15"/>
      <c r="S840" s="15"/>
      <c r="T840" s="15"/>
      <c r="U840" s="15"/>
      <c r="V840" s="17"/>
      <c r="Y840" s="14"/>
    </row>
    <row r="841">
      <c r="Q841" s="14"/>
      <c r="R841" s="15"/>
      <c r="S841" s="15"/>
      <c r="T841" s="15"/>
      <c r="U841" s="15"/>
      <c r="V841" s="17"/>
      <c r="Y841" s="14"/>
    </row>
    <row r="842">
      <c r="Q842" s="14"/>
      <c r="R842" s="15"/>
      <c r="S842" s="15"/>
      <c r="T842" s="15"/>
      <c r="U842" s="15"/>
      <c r="V842" s="17"/>
      <c r="Y842" s="14"/>
    </row>
    <row r="843">
      <c r="Q843" s="14"/>
      <c r="R843" s="15"/>
      <c r="S843" s="15"/>
      <c r="T843" s="15"/>
      <c r="U843" s="15"/>
      <c r="V843" s="17"/>
      <c r="Y843" s="14"/>
    </row>
    <row r="844">
      <c r="Q844" s="14"/>
      <c r="R844" s="15"/>
      <c r="S844" s="15"/>
      <c r="T844" s="15"/>
      <c r="U844" s="15"/>
      <c r="V844" s="17"/>
      <c r="Y844" s="14"/>
    </row>
    <row r="845">
      <c r="Q845" s="14"/>
      <c r="R845" s="15"/>
      <c r="S845" s="15"/>
      <c r="T845" s="15"/>
      <c r="U845" s="15"/>
      <c r="V845" s="17"/>
      <c r="Y845" s="14"/>
    </row>
    <row r="846">
      <c r="Q846" s="14"/>
      <c r="R846" s="15"/>
      <c r="S846" s="15"/>
      <c r="T846" s="15"/>
      <c r="U846" s="15"/>
      <c r="V846" s="17"/>
      <c r="Y846" s="14"/>
    </row>
    <row r="847">
      <c r="Q847" s="14"/>
      <c r="R847" s="15"/>
      <c r="S847" s="15"/>
      <c r="T847" s="15"/>
      <c r="U847" s="15"/>
      <c r="V847" s="17"/>
      <c r="Y847" s="14"/>
    </row>
    <row r="848">
      <c r="Q848" s="14"/>
      <c r="R848" s="15"/>
      <c r="S848" s="15"/>
      <c r="T848" s="15"/>
      <c r="U848" s="15"/>
      <c r="V848" s="17"/>
      <c r="Y848" s="14"/>
    </row>
    <row r="849">
      <c r="Q849" s="14"/>
      <c r="R849" s="15"/>
      <c r="S849" s="15"/>
      <c r="T849" s="15"/>
      <c r="U849" s="15"/>
      <c r="V849" s="17"/>
      <c r="Y849" s="14"/>
    </row>
    <row r="850">
      <c r="Q850" s="14"/>
      <c r="R850" s="15"/>
      <c r="S850" s="15"/>
      <c r="T850" s="15"/>
      <c r="U850" s="15"/>
      <c r="V850" s="17"/>
      <c r="Y850" s="14"/>
    </row>
    <row r="851">
      <c r="Q851" s="14"/>
      <c r="R851" s="15"/>
      <c r="S851" s="15"/>
      <c r="T851" s="15"/>
      <c r="U851" s="15"/>
      <c r="V851" s="17"/>
      <c r="Y851" s="14"/>
    </row>
    <row r="852">
      <c r="Q852" s="14"/>
      <c r="R852" s="15"/>
      <c r="S852" s="15"/>
      <c r="T852" s="15"/>
      <c r="U852" s="15"/>
      <c r="V852" s="17"/>
      <c r="Y852" s="14"/>
    </row>
    <row r="853">
      <c r="Q853" s="14"/>
      <c r="R853" s="15"/>
      <c r="S853" s="15"/>
      <c r="T853" s="15"/>
      <c r="U853" s="15"/>
      <c r="V853" s="17"/>
      <c r="Y853" s="14"/>
    </row>
    <row r="854">
      <c r="Q854" s="14"/>
      <c r="R854" s="15"/>
      <c r="S854" s="15"/>
      <c r="T854" s="15"/>
      <c r="U854" s="15"/>
      <c r="V854" s="17"/>
      <c r="Y854" s="14"/>
    </row>
    <row r="855">
      <c r="Q855" s="14"/>
      <c r="R855" s="15"/>
      <c r="S855" s="15"/>
      <c r="T855" s="15"/>
      <c r="U855" s="15"/>
      <c r="V855" s="17"/>
      <c r="Y855" s="14"/>
    </row>
    <row r="856">
      <c r="Q856" s="14"/>
      <c r="R856" s="15"/>
      <c r="S856" s="15"/>
      <c r="T856" s="15"/>
      <c r="U856" s="15"/>
      <c r="V856" s="17"/>
      <c r="Y856" s="14"/>
    </row>
    <row r="857">
      <c r="Q857" s="14"/>
      <c r="R857" s="15"/>
      <c r="S857" s="15"/>
      <c r="T857" s="15"/>
      <c r="U857" s="15"/>
      <c r="V857" s="17"/>
      <c r="Y857" s="14"/>
    </row>
    <row r="858">
      <c r="Q858" s="14"/>
      <c r="R858" s="15"/>
      <c r="S858" s="15"/>
      <c r="T858" s="15"/>
      <c r="U858" s="15"/>
      <c r="V858" s="17"/>
      <c r="Y858" s="14"/>
    </row>
    <row r="859">
      <c r="Q859" s="14"/>
      <c r="R859" s="15"/>
      <c r="S859" s="15"/>
      <c r="T859" s="15"/>
      <c r="U859" s="15"/>
      <c r="V859" s="17"/>
      <c r="Y859" s="14"/>
    </row>
    <row r="860">
      <c r="Q860" s="14"/>
      <c r="R860" s="15"/>
      <c r="S860" s="15"/>
      <c r="T860" s="15"/>
      <c r="U860" s="15"/>
      <c r="V860" s="17"/>
      <c r="Y860" s="14"/>
    </row>
    <row r="861">
      <c r="Q861" s="14"/>
      <c r="R861" s="15"/>
      <c r="S861" s="15"/>
      <c r="T861" s="15"/>
      <c r="U861" s="15"/>
      <c r="V861" s="17"/>
      <c r="Y861" s="14"/>
    </row>
    <row r="862">
      <c r="Q862" s="14"/>
      <c r="R862" s="15"/>
      <c r="S862" s="15"/>
      <c r="T862" s="15"/>
      <c r="U862" s="15"/>
      <c r="V862" s="17"/>
      <c r="Y862" s="14"/>
    </row>
    <row r="863">
      <c r="Q863" s="14"/>
      <c r="R863" s="15"/>
      <c r="S863" s="15"/>
      <c r="T863" s="15"/>
      <c r="U863" s="15"/>
      <c r="V863" s="17"/>
      <c r="Y863" s="14"/>
    </row>
    <row r="864">
      <c r="Q864" s="14"/>
      <c r="R864" s="15"/>
      <c r="S864" s="15"/>
      <c r="T864" s="15"/>
      <c r="U864" s="15"/>
      <c r="V864" s="17"/>
      <c r="Y864" s="14"/>
    </row>
    <row r="865">
      <c r="Q865" s="14"/>
      <c r="R865" s="15"/>
      <c r="S865" s="15"/>
      <c r="T865" s="15"/>
      <c r="U865" s="15"/>
      <c r="V865" s="17"/>
      <c r="Y865" s="14"/>
    </row>
    <row r="866">
      <c r="Q866" s="14"/>
      <c r="R866" s="15"/>
      <c r="S866" s="15"/>
      <c r="T866" s="15"/>
      <c r="U866" s="15"/>
      <c r="V866" s="17"/>
      <c r="Y866" s="14"/>
    </row>
    <row r="867">
      <c r="Q867" s="14"/>
      <c r="R867" s="15"/>
      <c r="S867" s="15"/>
      <c r="T867" s="15"/>
      <c r="U867" s="15"/>
      <c r="V867" s="17"/>
      <c r="Y867" s="14"/>
    </row>
    <row r="868">
      <c r="Q868" s="14"/>
      <c r="R868" s="15"/>
      <c r="S868" s="15"/>
      <c r="T868" s="15"/>
      <c r="U868" s="15"/>
      <c r="V868" s="17"/>
      <c r="Y868" s="14"/>
    </row>
    <row r="869">
      <c r="Q869" s="14"/>
      <c r="R869" s="15"/>
      <c r="S869" s="15"/>
      <c r="T869" s="15"/>
      <c r="U869" s="15"/>
      <c r="V869" s="17"/>
      <c r="Y869" s="14"/>
    </row>
    <row r="870">
      <c r="Q870" s="14"/>
      <c r="R870" s="15"/>
      <c r="S870" s="15"/>
      <c r="T870" s="15"/>
      <c r="U870" s="15"/>
      <c r="V870" s="17"/>
      <c r="Y870" s="14"/>
    </row>
    <row r="871">
      <c r="Q871" s="14"/>
      <c r="R871" s="15"/>
      <c r="S871" s="15"/>
      <c r="T871" s="15"/>
      <c r="U871" s="15"/>
      <c r="V871" s="17"/>
      <c r="Y871" s="14"/>
    </row>
    <row r="872">
      <c r="Q872" s="14"/>
      <c r="R872" s="15"/>
      <c r="S872" s="15"/>
      <c r="T872" s="15"/>
      <c r="U872" s="15"/>
      <c r="V872" s="17"/>
      <c r="Y872" s="14"/>
    </row>
    <row r="873">
      <c r="Q873" s="14"/>
      <c r="R873" s="15"/>
      <c r="S873" s="15"/>
      <c r="T873" s="15"/>
      <c r="U873" s="15"/>
      <c r="V873" s="17"/>
      <c r="Y873" s="14"/>
    </row>
    <row r="874">
      <c r="Q874" s="14"/>
      <c r="R874" s="15"/>
      <c r="S874" s="15"/>
      <c r="T874" s="15"/>
      <c r="U874" s="15"/>
      <c r="V874" s="17"/>
      <c r="Y874" s="14"/>
    </row>
    <row r="875">
      <c r="Q875" s="14"/>
      <c r="R875" s="15"/>
      <c r="S875" s="15"/>
      <c r="T875" s="15"/>
      <c r="U875" s="15"/>
      <c r="V875" s="17"/>
      <c r="Y875" s="14"/>
    </row>
    <row r="876">
      <c r="Q876" s="14"/>
      <c r="R876" s="15"/>
      <c r="S876" s="15"/>
      <c r="T876" s="15"/>
      <c r="U876" s="15"/>
      <c r="V876" s="17"/>
      <c r="Y876" s="14"/>
    </row>
    <row r="877">
      <c r="Q877" s="14"/>
      <c r="R877" s="15"/>
      <c r="S877" s="15"/>
      <c r="T877" s="15"/>
      <c r="U877" s="15"/>
      <c r="V877" s="17"/>
      <c r="Y877" s="14"/>
    </row>
    <row r="878">
      <c r="Q878" s="14"/>
      <c r="R878" s="15"/>
      <c r="S878" s="15"/>
      <c r="T878" s="15"/>
      <c r="U878" s="15"/>
      <c r="V878" s="17"/>
      <c r="Y878" s="14"/>
    </row>
    <row r="879">
      <c r="Q879" s="14"/>
      <c r="R879" s="15"/>
      <c r="S879" s="15"/>
      <c r="T879" s="15"/>
      <c r="U879" s="15"/>
      <c r="V879" s="17"/>
      <c r="Y879" s="14"/>
    </row>
    <row r="880">
      <c r="Q880" s="14"/>
      <c r="R880" s="15"/>
      <c r="S880" s="15"/>
      <c r="T880" s="15"/>
      <c r="U880" s="15"/>
      <c r="V880" s="17"/>
      <c r="Y880" s="14"/>
    </row>
    <row r="881">
      <c r="Q881" s="14"/>
      <c r="R881" s="15"/>
      <c r="S881" s="15"/>
      <c r="T881" s="15"/>
      <c r="U881" s="15"/>
      <c r="V881" s="17"/>
      <c r="Y881" s="14"/>
    </row>
    <row r="882">
      <c r="Q882" s="14"/>
      <c r="R882" s="15"/>
      <c r="S882" s="15"/>
      <c r="T882" s="15"/>
      <c r="U882" s="15"/>
      <c r="V882" s="17"/>
      <c r="Y882" s="14"/>
    </row>
    <row r="883">
      <c r="Q883" s="14"/>
      <c r="R883" s="15"/>
      <c r="S883" s="15"/>
      <c r="T883" s="15"/>
      <c r="U883" s="15"/>
      <c r="V883" s="17"/>
      <c r="Y883" s="14"/>
    </row>
    <row r="884">
      <c r="Q884" s="14"/>
      <c r="R884" s="15"/>
      <c r="S884" s="15"/>
      <c r="T884" s="15"/>
      <c r="U884" s="15"/>
      <c r="V884" s="17"/>
      <c r="Y884" s="14"/>
    </row>
    <row r="885">
      <c r="Q885" s="14"/>
      <c r="R885" s="15"/>
      <c r="S885" s="15"/>
      <c r="T885" s="15"/>
      <c r="U885" s="15"/>
      <c r="V885" s="17"/>
      <c r="Y885" s="14"/>
    </row>
    <row r="886">
      <c r="Q886" s="14"/>
      <c r="R886" s="15"/>
      <c r="S886" s="15"/>
      <c r="T886" s="15"/>
      <c r="U886" s="15"/>
      <c r="V886" s="17"/>
      <c r="Y886" s="14"/>
    </row>
    <row r="887">
      <c r="Q887" s="14"/>
      <c r="R887" s="15"/>
      <c r="S887" s="15"/>
      <c r="T887" s="15"/>
      <c r="U887" s="15"/>
      <c r="V887" s="17"/>
      <c r="Y887" s="14"/>
    </row>
    <row r="888">
      <c r="Q888" s="14"/>
      <c r="R888" s="15"/>
      <c r="S888" s="15"/>
      <c r="T888" s="15"/>
      <c r="U888" s="15"/>
      <c r="V888" s="17"/>
      <c r="Y888" s="14"/>
    </row>
    <row r="889">
      <c r="Q889" s="14"/>
      <c r="R889" s="15"/>
      <c r="S889" s="15"/>
      <c r="T889" s="15"/>
      <c r="U889" s="15"/>
      <c r="V889" s="17"/>
      <c r="Y889" s="14"/>
    </row>
    <row r="890">
      <c r="Q890" s="14"/>
      <c r="R890" s="15"/>
      <c r="S890" s="15"/>
      <c r="T890" s="15"/>
      <c r="U890" s="15"/>
      <c r="V890" s="17"/>
      <c r="Y890" s="14"/>
    </row>
    <row r="891">
      <c r="Q891" s="14"/>
      <c r="R891" s="15"/>
      <c r="S891" s="15"/>
      <c r="T891" s="15"/>
      <c r="U891" s="15"/>
      <c r="V891" s="17"/>
      <c r="Y891" s="14"/>
    </row>
    <row r="892">
      <c r="Q892" s="14"/>
      <c r="R892" s="15"/>
      <c r="S892" s="15"/>
      <c r="T892" s="15"/>
      <c r="U892" s="15"/>
      <c r="V892" s="17"/>
      <c r="Y892" s="14"/>
    </row>
    <row r="893">
      <c r="Q893" s="14"/>
      <c r="R893" s="15"/>
      <c r="S893" s="15"/>
      <c r="T893" s="15"/>
      <c r="U893" s="15"/>
      <c r="V893" s="17"/>
      <c r="Y893" s="14"/>
    </row>
    <row r="894">
      <c r="Q894" s="14"/>
      <c r="R894" s="15"/>
      <c r="S894" s="15"/>
      <c r="T894" s="15"/>
      <c r="U894" s="15"/>
      <c r="V894" s="17"/>
      <c r="Y894" s="14"/>
    </row>
    <row r="895">
      <c r="Q895" s="14"/>
      <c r="R895" s="15"/>
      <c r="S895" s="15"/>
      <c r="T895" s="15"/>
      <c r="U895" s="15"/>
      <c r="V895" s="17"/>
      <c r="Y895" s="14"/>
    </row>
    <row r="896">
      <c r="Q896" s="14"/>
      <c r="R896" s="15"/>
      <c r="S896" s="15"/>
      <c r="T896" s="15"/>
      <c r="U896" s="15"/>
      <c r="V896" s="17"/>
      <c r="Y896" s="14"/>
    </row>
    <row r="897">
      <c r="Q897" s="14"/>
      <c r="R897" s="15"/>
      <c r="S897" s="15"/>
      <c r="T897" s="15"/>
      <c r="U897" s="15"/>
      <c r="V897" s="17"/>
      <c r="Y897" s="14"/>
    </row>
    <row r="898">
      <c r="Q898" s="14"/>
      <c r="R898" s="15"/>
      <c r="S898" s="15"/>
      <c r="T898" s="15"/>
      <c r="U898" s="15"/>
      <c r="V898" s="17"/>
      <c r="Y898" s="14"/>
    </row>
    <row r="899">
      <c r="Q899" s="14"/>
      <c r="R899" s="15"/>
      <c r="S899" s="15"/>
      <c r="T899" s="15"/>
      <c r="U899" s="15"/>
      <c r="V899" s="17"/>
      <c r="Y899" s="14"/>
    </row>
    <row r="900">
      <c r="Q900" s="14"/>
      <c r="R900" s="15"/>
      <c r="S900" s="15"/>
      <c r="T900" s="15"/>
      <c r="U900" s="15"/>
      <c r="V900" s="17"/>
      <c r="Y900" s="14"/>
    </row>
    <row r="901">
      <c r="Q901" s="14"/>
      <c r="R901" s="15"/>
      <c r="S901" s="15"/>
      <c r="T901" s="15"/>
      <c r="U901" s="15"/>
      <c r="V901" s="17"/>
      <c r="Y901" s="14"/>
    </row>
    <row r="902">
      <c r="Q902" s="14"/>
      <c r="R902" s="15"/>
      <c r="S902" s="15"/>
      <c r="T902" s="15"/>
      <c r="U902" s="15"/>
      <c r="V902" s="17"/>
      <c r="Y902" s="14"/>
    </row>
    <row r="903">
      <c r="Q903" s="14"/>
      <c r="R903" s="15"/>
      <c r="S903" s="15"/>
      <c r="T903" s="15"/>
      <c r="U903" s="15"/>
      <c r="V903" s="17"/>
      <c r="Y903" s="14"/>
    </row>
    <row r="904">
      <c r="Q904" s="14"/>
      <c r="R904" s="15"/>
      <c r="S904" s="15"/>
      <c r="T904" s="15"/>
      <c r="U904" s="15"/>
      <c r="V904" s="17"/>
      <c r="Y904" s="14"/>
    </row>
    <row r="905">
      <c r="Q905" s="14"/>
      <c r="R905" s="15"/>
      <c r="S905" s="15"/>
      <c r="T905" s="15"/>
      <c r="U905" s="15"/>
      <c r="V905" s="17"/>
      <c r="Y905" s="14"/>
    </row>
    <row r="906">
      <c r="Q906" s="14"/>
      <c r="R906" s="15"/>
      <c r="S906" s="15"/>
      <c r="T906" s="15"/>
      <c r="U906" s="15"/>
      <c r="V906" s="17"/>
      <c r="Y906" s="14"/>
    </row>
    <row r="907">
      <c r="Q907" s="14"/>
      <c r="R907" s="15"/>
      <c r="S907" s="15"/>
      <c r="T907" s="15"/>
      <c r="U907" s="15"/>
      <c r="V907" s="17"/>
      <c r="Y907" s="14"/>
    </row>
    <row r="908">
      <c r="Q908" s="14"/>
      <c r="R908" s="15"/>
      <c r="S908" s="15"/>
      <c r="T908" s="15"/>
      <c r="U908" s="15"/>
      <c r="V908" s="17"/>
      <c r="Y908" s="14"/>
    </row>
    <row r="909">
      <c r="Q909" s="14"/>
      <c r="R909" s="15"/>
      <c r="S909" s="15"/>
      <c r="T909" s="15"/>
      <c r="U909" s="15"/>
      <c r="V909" s="17"/>
      <c r="Y909" s="14"/>
    </row>
    <row r="910">
      <c r="Q910" s="14"/>
      <c r="R910" s="15"/>
      <c r="S910" s="15"/>
      <c r="T910" s="15"/>
      <c r="U910" s="15"/>
      <c r="V910" s="17"/>
      <c r="Y910" s="14"/>
    </row>
    <row r="911">
      <c r="Q911" s="14"/>
      <c r="R911" s="15"/>
      <c r="S911" s="15"/>
      <c r="T911" s="15"/>
      <c r="U911" s="15"/>
      <c r="V911" s="17"/>
      <c r="Y911" s="14"/>
    </row>
    <row r="912">
      <c r="Q912" s="14"/>
      <c r="R912" s="15"/>
      <c r="S912" s="15"/>
      <c r="T912" s="15"/>
      <c r="U912" s="15"/>
      <c r="V912" s="17"/>
      <c r="Y912" s="14"/>
    </row>
    <row r="913">
      <c r="Q913" s="14"/>
      <c r="R913" s="15"/>
      <c r="S913" s="15"/>
      <c r="T913" s="15"/>
      <c r="U913" s="15"/>
      <c r="V913" s="17"/>
      <c r="Y913" s="14"/>
    </row>
    <row r="914">
      <c r="Q914" s="14"/>
      <c r="R914" s="15"/>
      <c r="S914" s="15"/>
      <c r="T914" s="15"/>
      <c r="U914" s="15"/>
      <c r="V914" s="17"/>
      <c r="Y914" s="14"/>
    </row>
    <row r="915">
      <c r="Q915" s="14"/>
      <c r="R915" s="15"/>
      <c r="S915" s="15"/>
      <c r="T915" s="15"/>
      <c r="U915" s="15"/>
      <c r="V915" s="17"/>
      <c r="Y915" s="14"/>
    </row>
    <row r="916">
      <c r="Q916" s="14"/>
      <c r="R916" s="15"/>
      <c r="S916" s="15"/>
      <c r="T916" s="15"/>
      <c r="U916" s="15"/>
      <c r="V916" s="17"/>
      <c r="Y916" s="14"/>
    </row>
    <row r="917">
      <c r="Q917" s="14"/>
      <c r="R917" s="15"/>
      <c r="S917" s="15"/>
      <c r="T917" s="15"/>
      <c r="U917" s="15"/>
      <c r="V917" s="17"/>
      <c r="Y917" s="14"/>
    </row>
    <row r="918">
      <c r="Q918" s="14"/>
      <c r="R918" s="15"/>
      <c r="S918" s="15"/>
      <c r="T918" s="15"/>
      <c r="U918" s="15"/>
      <c r="V918" s="17"/>
      <c r="Y918" s="14"/>
    </row>
    <row r="919">
      <c r="Q919" s="14"/>
      <c r="R919" s="15"/>
      <c r="S919" s="15"/>
      <c r="T919" s="15"/>
      <c r="U919" s="15"/>
      <c r="V919" s="17"/>
      <c r="Y919" s="14"/>
    </row>
    <row r="920">
      <c r="Q920" s="14"/>
      <c r="R920" s="15"/>
      <c r="S920" s="15"/>
      <c r="T920" s="15"/>
      <c r="U920" s="15"/>
      <c r="V920" s="17"/>
      <c r="Y920" s="14"/>
    </row>
    <row r="921">
      <c r="Q921" s="14"/>
      <c r="R921" s="15"/>
      <c r="S921" s="15"/>
      <c r="T921" s="15"/>
      <c r="U921" s="15"/>
      <c r="V921" s="17"/>
      <c r="Y921" s="14"/>
    </row>
    <row r="922">
      <c r="Q922" s="14"/>
      <c r="R922" s="15"/>
      <c r="S922" s="15"/>
      <c r="T922" s="15"/>
      <c r="U922" s="15"/>
      <c r="V922" s="17"/>
      <c r="Y922" s="14"/>
    </row>
    <row r="923">
      <c r="Q923" s="14"/>
      <c r="R923" s="15"/>
      <c r="S923" s="15"/>
      <c r="T923" s="15"/>
      <c r="U923" s="15"/>
      <c r="V923" s="17"/>
      <c r="Y923" s="14"/>
    </row>
    <row r="924">
      <c r="Q924" s="14"/>
      <c r="R924" s="15"/>
      <c r="S924" s="15"/>
      <c r="T924" s="15"/>
      <c r="U924" s="15"/>
      <c r="V924" s="17"/>
      <c r="Y924" s="14"/>
    </row>
    <row r="925">
      <c r="Q925" s="14"/>
      <c r="R925" s="15"/>
      <c r="S925" s="15"/>
      <c r="T925" s="15"/>
      <c r="U925" s="15"/>
      <c r="V925" s="17"/>
      <c r="Y925" s="14"/>
    </row>
    <row r="926">
      <c r="Q926" s="14"/>
      <c r="R926" s="15"/>
      <c r="S926" s="15"/>
      <c r="T926" s="15"/>
      <c r="U926" s="15"/>
      <c r="V926" s="17"/>
      <c r="Y926" s="14"/>
    </row>
    <row r="927">
      <c r="Q927" s="14"/>
      <c r="R927" s="15"/>
      <c r="S927" s="15"/>
      <c r="T927" s="15"/>
      <c r="U927" s="15"/>
      <c r="V927" s="17"/>
      <c r="Y927" s="14"/>
    </row>
    <row r="928">
      <c r="Q928" s="14"/>
      <c r="R928" s="15"/>
      <c r="S928" s="15"/>
      <c r="T928" s="15"/>
      <c r="U928" s="15"/>
      <c r="V928" s="17"/>
      <c r="Y928" s="14"/>
    </row>
    <row r="929">
      <c r="Q929" s="14"/>
      <c r="R929" s="15"/>
      <c r="S929" s="15"/>
      <c r="T929" s="15"/>
      <c r="U929" s="15"/>
      <c r="V929" s="17"/>
      <c r="Y929" s="14"/>
    </row>
    <row r="930">
      <c r="Q930" s="14"/>
      <c r="R930" s="15"/>
      <c r="S930" s="15"/>
      <c r="T930" s="15"/>
      <c r="U930" s="15"/>
      <c r="V930" s="17"/>
      <c r="Y930" s="14"/>
    </row>
    <row r="931">
      <c r="Q931" s="14"/>
      <c r="R931" s="15"/>
      <c r="S931" s="15"/>
      <c r="T931" s="15"/>
      <c r="U931" s="15"/>
      <c r="V931" s="17"/>
      <c r="Y931" s="14"/>
    </row>
    <row r="932">
      <c r="Q932" s="14"/>
      <c r="R932" s="15"/>
      <c r="S932" s="15"/>
      <c r="T932" s="15"/>
      <c r="U932" s="15"/>
      <c r="V932" s="17"/>
      <c r="Y932" s="14"/>
    </row>
    <row r="933">
      <c r="Q933" s="14"/>
      <c r="R933" s="15"/>
      <c r="S933" s="15"/>
      <c r="T933" s="15"/>
      <c r="U933" s="15"/>
      <c r="V933" s="17"/>
      <c r="Y933" s="14"/>
    </row>
    <row r="934">
      <c r="Q934" s="14"/>
      <c r="R934" s="15"/>
      <c r="S934" s="15"/>
      <c r="T934" s="15"/>
      <c r="U934" s="15"/>
      <c r="V934" s="17"/>
      <c r="Y934" s="14"/>
    </row>
    <row r="935">
      <c r="Q935" s="14"/>
      <c r="R935" s="15"/>
      <c r="S935" s="15"/>
      <c r="T935" s="15"/>
      <c r="U935" s="15"/>
      <c r="V935" s="17"/>
      <c r="Y935" s="14"/>
    </row>
    <row r="936">
      <c r="Q936" s="14"/>
      <c r="R936" s="15"/>
      <c r="S936" s="15"/>
      <c r="T936" s="15"/>
      <c r="U936" s="15"/>
      <c r="V936" s="17"/>
      <c r="Y936" s="14"/>
    </row>
    <row r="937">
      <c r="Q937" s="14"/>
      <c r="R937" s="15"/>
      <c r="S937" s="15"/>
      <c r="T937" s="15"/>
      <c r="U937" s="15"/>
      <c r="V937" s="17"/>
      <c r="Y937" s="14"/>
    </row>
    <row r="938">
      <c r="Q938" s="14"/>
      <c r="R938" s="15"/>
      <c r="S938" s="15"/>
      <c r="T938" s="15"/>
      <c r="U938" s="15"/>
      <c r="V938" s="17"/>
      <c r="Y938" s="14"/>
    </row>
    <row r="939">
      <c r="Q939" s="14"/>
      <c r="R939" s="15"/>
      <c r="S939" s="15"/>
      <c r="T939" s="15"/>
      <c r="U939" s="15"/>
      <c r="V939" s="17"/>
      <c r="Y939" s="14"/>
    </row>
    <row r="940">
      <c r="Q940" s="14"/>
      <c r="R940" s="15"/>
      <c r="S940" s="15"/>
      <c r="T940" s="15"/>
      <c r="U940" s="15"/>
      <c r="V940" s="17"/>
      <c r="Y940" s="14"/>
    </row>
    <row r="941">
      <c r="Q941" s="14"/>
      <c r="R941" s="15"/>
      <c r="S941" s="15"/>
      <c r="T941" s="15"/>
      <c r="U941" s="15"/>
      <c r="V941" s="17"/>
      <c r="Y941" s="14"/>
    </row>
    <row r="942">
      <c r="Q942" s="14"/>
      <c r="R942" s="15"/>
      <c r="S942" s="15"/>
      <c r="T942" s="15"/>
      <c r="U942" s="15"/>
      <c r="V942" s="17"/>
      <c r="Y942" s="14"/>
    </row>
    <row r="943">
      <c r="Q943" s="14"/>
      <c r="R943" s="15"/>
      <c r="S943" s="15"/>
      <c r="T943" s="15"/>
      <c r="U943" s="15"/>
      <c r="V943" s="17"/>
      <c r="Y943" s="14"/>
    </row>
    <row r="944">
      <c r="Q944" s="14"/>
      <c r="R944" s="15"/>
      <c r="S944" s="15"/>
      <c r="T944" s="15"/>
      <c r="U944" s="15"/>
      <c r="V944" s="17"/>
      <c r="Y944" s="14"/>
    </row>
    <row r="945">
      <c r="Q945" s="14"/>
      <c r="R945" s="15"/>
      <c r="S945" s="15"/>
      <c r="T945" s="15"/>
      <c r="U945" s="15"/>
      <c r="V945" s="17"/>
      <c r="Y945" s="14"/>
    </row>
    <row r="946">
      <c r="Q946" s="14"/>
      <c r="R946" s="15"/>
      <c r="S946" s="15"/>
      <c r="T946" s="15"/>
      <c r="U946" s="15"/>
      <c r="V946" s="17"/>
      <c r="Y946" s="14"/>
    </row>
    <row r="947">
      <c r="Q947" s="14"/>
      <c r="R947" s="15"/>
      <c r="S947" s="15"/>
      <c r="T947" s="15"/>
      <c r="U947" s="15"/>
      <c r="V947" s="17"/>
      <c r="Y947" s="14"/>
    </row>
    <row r="948">
      <c r="Q948" s="14"/>
      <c r="R948" s="15"/>
      <c r="S948" s="15"/>
      <c r="T948" s="15"/>
      <c r="U948" s="15"/>
      <c r="V948" s="17"/>
      <c r="Y948" s="14"/>
    </row>
    <row r="949">
      <c r="Q949" s="14"/>
      <c r="R949" s="15"/>
      <c r="S949" s="15"/>
      <c r="T949" s="15"/>
      <c r="U949" s="15"/>
      <c r="V949" s="17"/>
      <c r="Y949" s="14"/>
    </row>
    <row r="950">
      <c r="Q950" s="14"/>
      <c r="R950" s="15"/>
      <c r="S950" s="15"/>
      <c r="T950" s="15"/>
      <c r="U950" s="15"/>
      <c r="V950" s="17"/>
      <c r="Y950" s="14"/>
    </row>
    <row r="951">
      <c r="Q951" s="14"/>
      <c r="R951" s="15"/>
      <c r="S951" s="15"/>
      <c r="T951" s="15"/>
      <c r="U951" s="15"/>
      <c r="V951" s="17"/>
      <c r="Y951" s="14"/>
    </row>
    <row r="952">
      <c r="Q952" s="14"/>
      <c r="R952" s="15"/>
      <c r="S952" s="15"/>
      <c r="T952" s="15"/>
      <c r="U952" s="15"/>
      <c r="V952" s="17"/>
      <c r="Y952" s="14"/>
    </row>
    <row r="953">
      <c r="Q953" s="14"/>
      <c r="R953" s="15"/>
      <c r="S953" s="15"/>
      <c r="T953" s="15"/>
      <c r="U953" s="15"/>
      <c r="V953" s="17"/>
      <c r="Y953" s="14"/>
    </row>
    <row r="954">
      <c r="Q954" s="14"/>
      <c r="R954" s="15"/>
      <c r="S954" s="15"/>
      <c r="T954" s="15"/>
      <c r="U954" s="15"/>
      <c r="V954" s="17"/>
      <c r="Y954" s="14"/>
    </row>
    <row r="955">
      <c r="Q955" s="14"/>
      <c r="R955" s="15"/>
      <c r="S955" s="15"/>
      <c r="T955" s="15"/>
      <c r="U955" s="15"/>
      <c r="V955" s="17"/>
      <c r="Y955" s="14"/>
    </row>
    <row r="956">
      <c r="Q956" s="14"/>
      <c r="R956" s="15"/>
      <c r="S956" s="15"/>
      <c r="T956" s="15"/>
      <c r="U956" s="15"/>
      <c r="V956" s="17"/>
      <c r="Y956" s="14"/>
    </row>
    <row r="957">
      <c r="Q957" s="14"/>
      <c r="R957" s="15"/>
      <c r="S957" s="15"/>
      <c r="T957" s="15"/>
      <c r="U957" s="15"/>
      <c r="V957" s="17"/>
      <c r="Y957" s="14"/>
    </row>
    <row r="958">
      <c r="Q958" s="14"/>
      <c r="R958" s="15"/>
      <c r="S958" s="15"/>
      <c r="T958" s="15"/>
      <c r="U958" s="15"/>
      <c r="V958" s="17"/>
      <c r="Y958" s="14"/>
    </row>
    <row r="959">
      <c r="Q959" s="14"/>
      <c r="R959" s="15"/>
      <c r="S959" s="15"/>
      <c r="T959" s="15"/>
      <c r="U959" s="15"/>
      <c r="V959" s="17"/>
      <c r="Y959" s="14"/>
    </row>
    <row r="960">
      <c r="Q960" s="14"/>
      <c r="R960" s="15"/>
      <c r="S960" s="15"/>
      <c r="T960" s="15"/>
      <c r="U960" s="15"/>
      <c r="V960" s="17"/>
      <c r="Y960" s="14"/>
    </row>
    <row r="961">
      <c r="Q961" s="14"/>
      <c r="R961" s="15"/>
      <c r="S961" s="15"/>
      <c r="T961" s="15"/>
      <c r="U961" s="15"/>
      <c r="V961" s="17"/>
      <c r="Y961" s="14"/>
    </row>
    <row r="962">
      <c r="Q962" s="14"/>
      <c r="R962" s="15"/>
      <c r="S962" s="15"/>
      <c r="T962" s="15"/>
      <c r="U962" s="15"/>
      <c r="V962" s="17"/>
      <c r="Y962" s="14"/>
    </row>
    <row r="963">
      <c r="Q963" s="14"/>
      <c r="R963" s="15"/>
      <c r="S963" s="15"/>
      <c r="T963" s="15"/>
      <c r="U963" s="15"/>
      <c r="V963" s="17"/>
      <c r="Y963" s="14"/>
    </row>
    <row r="964">
      <c r="Q964" s="14"/>
      <c r="R964" s="15"/>
      <c r="S964" s="15"/>
      <c r="T964" s="15"/>
      <c r="U964" s="15"/>
      <c r="V964" s="17"/>
      <c r="Y964" s="14"/>
    </row>
    <row r="965">
      <c r="Q965" s="14"/>
      <c r="R965" s="15"/>
      <c r="S965" s="15"/>
      <c r="T965" s="15"/>
      <c r="U965" s="15"/>
      <c r="V965" s="17"/>
      <c r="Y965" s="14"/>
    </row>
    <row r="966">
      <c r="Q966" s="14"/>
      <c r="R966" s="15"/>
      <c r="S966" s="15"/>
      <c r="T966" s="15"/>
      <c r="U966" s="15"/>
      <c r="V966" s="17"/>
      <c r="Y966" s="14"/>
    </row>
    <row r="967">
      <c r="Q967" s="14"/>
      <c r="R967" s="15"/>
      <c r="S967" s="15"/>
      <c r="T967" s="15"/>
      <c r="U967" s="15"/>
      <c r="V967" s="17"/>
      <c r="Y967" s="14"/>
    </row>
    <row r="968">
      <c r="Q968" s="14"/>
      <c r="R968" s="15"/>
      <c r="S968" s="15"/>
      <c r="T968" s="15"/>
      <c r="U968" s="15"/>
      <c r="V968" s="17"/>
      <c r="Y968" s="14"/>
    </row>
    <row r="969">
      <c r="Q969" s="14"/>
      <c r="R969" s="15"/>
      <c r="S969" s="15"/>
      <c r="T969" s="15"/>
      <c r="U969" s="15"/>
      <c r="V969" s="17"/>
      <c r="Y969" s="14"/>
    </row>
    <row r="970">
      <c r="Q970" s="14"/>
      <c r="R970" s="15"/>
      <c r="S970" s="15"/>
      <c r="T970" s="15"/>
      <c r="U970" s="15"/>
      <c r="V970" s="17"/>
      <c r="Y970" s="14"/>
    </row>
    <row r="971">
      <c r="Q971" s="14"/>
      <c r="R971" s="15"/>
      <c r="S971" s="15"/>
      <c r="T971" s="15"/>
      <c r="U971" s="15"/>
      <c r="V971" s="17"/>
      <c r="Y971" s="14"/>
    </row>
    <row r="972">
      <c r="Q972" s="14"/>
      <c r="R972" s="15"/>
      <c r="S972" s="15"/>
      <c r="T972" s="15"/>
      <c r="U972" s="15"/>
      <c r="V972" s="17"/>
      <c r="Y972" s="14"/>
    </row>
    <row r="973">
      <c r="Q973" s="14"/>
      <c r="R973" s="15"/>
      <c r="S973" s="15"/>
      <c r="T973" s="15"/>
      <c r="U973" s="15"/>
      <c r="V973" s="17"/>
      <c r="Y973" s="14"/>
    </row>
  </sheetData>
  <autoFilter ref="$A$1:$AF$97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3.38"/>
    <col customWidth="1" min="3" max="3" width="13.0"/>
  </cols>
  <sheetData>
    <row r="1">
      <c r="A1" s="19" t="s">
        <v>91</v>
      </c>
      <c r="B1" s="20" t="s">
        <v>92</v>
      </c>
      <c r="C1" s="20" t="s">
        <v>93</v>
      </c>
    </row>
    <row r="2">
      <c r="A2" s="21">
        <v>46038.0</v>
      </c>
      <c r="B2" s="10">
        <v>22.0</v>
      </c>
      <c r="C2" s="10">
        <v>100.0</v>
      </c>
    </row>
    <row r="3">
      <c r="A3" s="21">
        <v>46052.0</v>
      </c>
      <c r="B3" s="10">
        <v>25.0</v>
      </c>
      <c r="C3" s="10">
        <v>150.0</v>
      </c>
    </row>
    <row r="4">
      <c r="A4" s="14"/>
    </row>
    <row r="5">
      <c r="A5" s="14"/>
    </row>
    <row r="6">
      <c r="A6" s="14"/>
    </row>
    <row r="7">
      <c r="A7" s="14"/>
    </row>
    <row r="8">
      <c r="A8" s="14"/>
    </row>
    <row r="9">
      <c r="A9" s="14"/>
    </row>
    <row r="10">
      <c r="A10" s="14"/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0" t="s">
        <v>94</v>
      </c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</v>
      </c>
      <c r="B1" s="6" t="s">
        <v>24</v>
      </c>
      <c r="C1" s="20" t="s">
        <v>3</v>
      </c>
      <c r="D1" s="20" t="s">
        <v>33</v>
      </c>
    </row>
    <row r="2">
      <c r="A2" s="18" t="str">
        <f>IFERROR(__xludf.DUMMYFUNCTION("UNIQUE( FILTER( { Data!$C$2:$C1000, Data!$Q$2:$Q1000, Data!$Y$2:$Y1000 }, LEN(Data!$C$2:$C1000) ) )"),"Maya Patel")</f>
        <v>Maya Patel</v>
      </c>
      <c r="B2" s="14">
        <f>IFERROR(__xludf.DUMMYFUNCTION("""COMPUTED_VALUE"""),46038.0)</f>
        <v>46038</v>
      </c>
      <c r="C2" s="14">
        <f>IFERROR(__xludf.DUMMYFUNCTION("""COMPUTED_VALUE"""),46038.0)</f>
        <v>46038</v>
      </c>
      <c r="D2" s="18">
        <f>IFERROR(__xludf.DUMMYFUNCTION("IF( A2="""", """", IFERROR( INDEX( FILTER( Data!$AA:$AA, Data!$C:$C=$A2, Data!$Q:$Q=$B2 ), 1 ), 0 ) )"),0.0)</f>
        <v>0</v>
      </c>
    </row>
    <row r="3">
      <c r="A3" s="18" t="str">
        <f>IFERROR(__xludf.DUMMYFUNCTION("""COMPUTED_VALUE"""),"Jordan Williams")</f>
        <v>Jordan Williams</v>
      </c>
      <c r="B3" s="14">
        <f>IFERROR(__xludf.DUMMYFUNCTION("""COMPUTED_VALUE"""),46038.0)</f>
        <v>46038</v>
      </c>
      <c r="C3" s="14">
        <f>IFERROR(__xludf.DUMMYFUNCTION("""COMPUTED_VALUE"""),46038.0)</f>
        <v>46038</v>
      </c>
      <c r="D3" s="18">
        <f>IFERROR(__xludf.DUMMYFUNCTION("IF( A3="""", """", IFERROR( INDEX( FILTER( Data!$AA:$AA, Data!$C:$C=$A3, Data!$Q:$Q=$B3 ), 1 ), 0 ) )"),0.0)</f>
        <v>0</v>
      </c>
    </row>
    <row r="4">
      <c r="A4" s="18" t="str">
        <f>IFERROR(__xludf.DUMMYFUNCTION("""COMPUTED_VALUE"""),"Carlos Ramirez")</f>
        <v>Carlos Ramirez</v>
      </c>
      <c r="B4" s="14">
        <f>IFERROR(__xludf.DUMMYFUNCTION("""COMPUTED_VALUE"""),46038.0)</f>
        <v>46038</v>
      </c>
      <c r="C4" s="14">
        <f>IFERROR(__xludf.DUMMYFUNCTION("""COMPUTED_VALUE"""),46038.0)</f>
        <v>46038</v>
      </c>
      <c r="D4" s="18">
        <f>IFERROR(__xludf.DUMMYFUNCTION("IF( A4="""", """", IFERROR( INDEX( FILTER( Data!$AA:$AA, Data!$C:$C=$A4, Data!$Q:$Q=$B4 ), 1 ), 0 ) )"),0.0)</f>
        <v>0</v>
      </c>
    </row>
    <row r="5">
      <c r="A5" s="18" t="str">
        <f>IFERROR(__xludf.DUMMYFUNCTION("""COMPUTED_VALUE"""),"Emily Chen")</f>
        <v>Emily Chen</v>
      </c>
      <c r="B5" s="14">
        <f>IFERROR(__xludf.DUMMYFUNCTION("""COMPUTED_VALUE"""),46038.0)</f>
        <v>46038</v>
      </c>
      <c r="C5" s="14">
        <f>IFERROR(__xludf.DUMMYFUNCTION("""COMPUTED_VALUE"""),46038.0)</f>
        <v>46038</v>
      </c>
      <c r="D5" s="18">
        <f>IFERROR(__xludf.DUMMYFUNCTION("IF( A5="""", """", IFERROR( INDEX( FILTER( Data!$AA:$AA, Data!$C:$C=$A5, Data!$Q:$Q=$B5 ), 1 ), 0 ) )"),0.0)</f>
        <v>0</v>
      </c>
    </row>
    <row r="6">
      <c r="A6" s="18" t="str">
        <f>IFERROR(__xludf.DUMMYFUNCTION("""COMPUTED_VALUE"""),"Aisha Johnson")</f>
        <v>Aisha Johnson</v>
      </c>
      <c r="B6" s="14">
        <f>IFERROR(__xludf.DUMMYFUNCTION("""COMPUTED_VALUE"""),46038.0)</f>
        <v>46038</v>
      </c>
      <c r="C6" s="14">
        <f>IFERROR(__xludf.DUMMYFUNCTION("""COMPUTED_VALUE"""),46038.0)</f>
        <v>46038</v>
      </c>
      <c r="D6" s="18">
        <f>IFERROR(__xludf.DUMMYFUNCTION("IF( A6="""", """", IFERROR( INDEX( FILTER( Data!$AA:$AA, Data!$C:$C=$A6, Data!$Q:$Q=$B6 ), 1 ), 0 ) )"),0.0)</f>
        <v>0</v>
      </c>
    </row>
    <row r="7">
      <c r="A7" s="18" t="str">
        <f>IFERROR(__xludf.DUMMYFUNCTION("""COMPUTED_VALUE"""),"Daniel Kim")</f>
        <v>Daniel Kim</v>
      </c>
      <c r="B7" s="14">
        <f>IFERROR(__xludf.DUMMYFUNCTION("""COMPUTED_VALUE"""),46038.0)</f>
        <v>46038</v>
      </c>
      <c r="C7" s="14">
        <f>IFERROR(__xludf.DUMMYFUNCTION("""COMPUTED_VALUE"""),46038.0)</f>
        <v>46038</v>
      </c>
      <c r="D7" s="18">
        <f>IFERROR(__xludf.DUMMYFUNCTION("IF( A7="""", """", IFERROR( INDEX( FILTER( Data!$AA:$AA, Data!$C:$C=$A7, Data!$Q:$Q=$B7 ), 1 ), 0 ) )"),0.0)</f>
        <v>0</v>
      </c>
    </row>
    <row r="8">
      <c r="A8" s="18" t="str">
        <f>IFERROR(__xludf.DUMMYFUNCTION("""COMPUTED_VALUE"""),"Sofia Martinez")</f>
        <v>Sofia Martinez</v>
      </c>
      <c r="B8" s="14">
        <f>IFERROR(__xludf.DUMMYFUNCTION("""COMPUTED_VALUE"""),46038.0)</f>
        <v>46038</v>
      </c>
      <c r="C8" s="14">
        <f>IFERROR(__xludf.DUMMYFUNCTION("""COMPUTED_VALUE"""),46038.0)</f>
        <v>46038</v>
      </c>
      <c r="D8" s="18">
        <f>IFERROR(__xludf.DUMMYFUNCTION("IF( A8="""", """", IFERROR( INDEX( FILTER( Data!$AA:$AA, Data!$C:$C=$A8, Data!$Q:$Q=$B8 ), 1 ), 0 ) )"),0.0)</f>
        <v>0</v>
      </c>
    </row>
    <row r="9">
      <c r="A9" s="18" t="str">
        <f>IFERROR(__xludf.DUMMYFUNCTION("""COMPUTED_VALUE"""),"Marcus Thompson")</f>
        <v>Marcus Thompson</v>
      </c>
      <c r="B9" s="14">
        <f>IFERROR(__xludf.DUMMYFUNCTION("""COMPUTED_VALUE"""),46038.0)</f>
        <v>46038</v>
      </c>
      <c r="C9" s="14">
        <f>IFERROR(__xludf.DUMMYFUNCTION("""COMPUTED_VALUE"""),46038.0)</f>
        <v>46038</v>
      </c>
      <c r="D9" s="18">
        <f>IFERROR(__xludf.DUMMYFUNCTION("IF( A9="""", """", IFERROR( INDEX( FILTER( Data!$AA:$AA, Data!$C:$C=$A9, Data!$Q:$Q=$B9 ), 1 ), 0 ) )"),0.0)</f>
        <v>0</v>
      </c>
    </row>
    <row r="10">
      <c r="A10" s="18" t="str">
        <f>IFERROR(__xludf.DUMMYFUNCTION("""COMPUTED_VALUE"""),"Priya Nair")</f>
        <v>Priya Nair</v>
      </c>
      <c r="B10" s="14">
        <f>IFERROR(__xludf.DUMMYFUNCTION("""COMPUTED_VALUE"""),46038.0)</f>
        <v>46038</v>
      </c>
      <c r="C10" s="14">
        <f>IFERROR(__xludf.DUMMYFUNCTION("""COMPUTED_VALUE"""),46038.0)</f>
        <v>46038</v>
      </c>
      <c r="D10" s="18">
        <f>IFERROR(__xludf.DUMMYFUNCTION("IF( A10="""", """", IFERROR( INDEX( FILTER( Data!$AA:$AA, Data!$C:$C=$A10, Data!$Q:$Q=$B10 ), 1 ), 0 ) )"),0.0)</f>
        <v>0</v>
      </c>
    </row>
    <row r="11">
      <c r="A11" s="18" t="str">
        <f>IFERROR(__xludf.DUMMYFUNCTION("""COMPUTED_VALUE"""),"Ethan Brooks")</f>
        <v>Ethan Brooks</v>
      </c>
      <c r="B11" s="14">
        <f>IFERROR(__xludf.DUMMYFUNCTION("""COMPUTED_VALUE"""),46038.0)</f>
        <v>46038</v>
      </c>
      <c r="C11" s="14">
        <f>IFERROR(__xludf.DUMMYFUNCTION("""COMPUTED_VALUE"""),46038.0)</f>
        <v>46038</v>
      </c>
      <c r="D11" s="18">
        <f>IFERROR(__xludf.DUMMYFUNCTION("IF( A11="""", """", IFERROR( INDEX( FILTER( Data!$AA:$AA, Data!$C:$C=$A11, Data!$Q:$Q=$B11 ), 1 ), 0 ) )"),0.0)</f>
        <v>0</v>
      </c>
    </row>
    <row r="12">
      <c r="A12" s="18" t="str">
        <f>IFERROR(__xludf.DUMMYFUNCTION("""COMPUTED_VALUE"""),"Fatima Hassan")</f>
        <v>Fatima Hassan</v>
      </c>
      <c r="B12" s="14">
        <f>IFERROR(__xludf.DUMMYFUNCTION("""COMPUTED_VALUE"""),46038.0)</f>
        <v>46038</v>
      </c>
      <c r="C12" s="14">
        <f>IFERROR(__xludf.DUMMYFUNCTION("""COMPUTED_VALUE"""),46038.0)</f>
        <v>46038</v>
      </c>
      <c r="D12" s="18">
        <f>IFERROR(__xludf.DUMMYFUNCTION("IF( A12="""", """", IFERROR( INDEX( FILTER( Data!$AA:$AA, Data!$C:$C=$A12, Data!$Q:$Q=$B12 ), 1 ), 0 ) )"),0.0)</f>
        <v>0</v>
      </c>
    </row>
    <row r="13">
      <c r="A13" s="18" t="str">
        <f>IFERROR(__xludf.DUMMYFUNCTION("""COMPUTED_VALUE"""),"Noah Levine")</f>
        <v>Noah Levine</v>
      </c>
      <c r="B13" s="14">
        <f>IFERROR(__xludf.DUMMYFUNCTION("""COMPUTED_VALUE"""),46038.0)</f>
        <v>46038</v>
      </c>
      <c r="C13" s="14">
        <f>IFERROR(__xludf.DUMMYFUNCTION("""COMPUTED_VALUE"""),46038.0)</f>
        <v>46038</v>
      </c>
      <c r="D13" s="18">
        <f>IFERROR(__xludf.DUMMYFUNCTION("IF( A13="""", """", IFERROR( INDEX( FILTER( Data!$AA:$AA, Data!$C:$C=$A13, Data!$Q:$Q=$B13 ), 1 ), 0 ) )"),0.0)</f>
        <v>0</v>
      </c>
    </row>
    <row r="14">
      <c r="A14" s="18" t="str">
        <f>IFERROR(__xludf.DUMMYFUNCTION("""COMPUTED_VALUE"""),"Grace Nguyen")</f>
        <v>Grace Nguyen</v>
      </c>
      <c r="B14" s="14">
        <f>IFERROR(__xludf.DUMMYFUNCTION("""COMPUTED_VALUE"""),46038.0)</f>
        <v>46038</v>
      </c>
      <c r="C14" s="14">
        <f>IFERROR(__xludf.DUMMYFUNCTION("""COMPUTED_VALUE"""),46038.0)</f>
        <v>46038</v>
      </c>
      <c r="D14" s="18">
        <f>IFERROR(__xludf.DUMMYFUNCTION("IF( A14="""", """", IFERROR( INDEX( FILTER( Data!$AA:$AA, Data!$C:$C=$A14, Data!$Q:$Q=$B14 ), 1 ), 0 ) )"),0.0)</f>
        <v>0</v>
      </c>
    </row>
    <row r="15">
      <c r="A15" s="18" t="str">
        <f>IFERROR(__xludf.DUMMYFUNCTION("""COMPUTED_VALUE"""),"Alejandro Cruz")</f>
        <v>Alejandro Cruz</v>
      </c>
      <c r="B15" s="14">
        <f>IFERROR(__xludf.DUMMYFUNCTION("""COMPUTED_VALUE"""),46038.0)</f>
        <v>46038</v>
      </c>
      <c r="C15" s="14">
        <f>IFERROR(__xludf.DUMMYFUNCTION("""COMPUTED_VALUE"""),46038.0)</f>
        <v>46038</v>
      </c>
      <c r="D15" s="18">
        <f>IFERROR(__xludf.DUMMYFUNCTION("IF( A15="""", """", IFERROR( INDEX( FILTER( Data!$AA:$AA, Data!$C:$C=$A15, Data!$Q:$Q=$B15 ), 1 ), 0 ) )"),0.0)</f>
        <v>0</v>
      </c>
    </row>
    <row r="16">
      <c r="A16" s="18" t="str">
        <f>IFERROR(__xludf.DUMMYFUNCTION("""COMPUTED_VALUE"""),"Aisha Johnson")</f>
        <v>Aisha Johnson</v>
      </c>
      <c r="B16" s="14">
        <f>IFERROR(__xludf.DUMMYFUNCTION("""COMPUTED_VALUE"""),46045.0)</f>
        <v>46045</v>
      </c>
      <c r="C16" s="14">
        <f>IFERROR(__xludf.DUMMYFUNCTION("""COMPUTED_VALUE"""),46052.0)</f>
        <v>46052</v>
      </c>
      <c r="D16" s="18">
        <f>IFERROR(__xludf.DUMMYFUNCTION("IF( A16="""", """", IFERROR( INDEX( FILTER( Data!$AA:$AA, Data!$C:$C=$A16, Data!$Q:$Q=$B16 ), 1 ), 0 ) )"),100.0)</f>
        <v>100</v>
      </c>
    </row>
    <row r="17">
      <c r="A17" s="18" t="str">
        <f>IFERROR(__xludf.DUMMYFUNCTION("""COMPUTED_VALUE"""),"Hannah O’Connor")</f>
        <v>Hannah O’Connor</v>
      </c>
      <c r="B17" s="14">
        <f>IFERROR(__xludf.DUMMYFUNCTION("""COMPUTED_VALUE"""),46045.0)</f>
        <v>46045</v>
      </c>
      <c r="C17" s="14">
        <f>IFERROR(__xludf.DUMMYFUNCTION("""COMPUTED_VALUE"""),46052.0)</f>
        <v>46052</v>
      </c>
      <c r="D17" s="18">
        <f>IFERROR(__xludf.DUMMYFUNCTION("IF( A17="""", """", IFERROR( INDEX( FILTER( Data!$AA:$AA, Data!$C:$C=$A17, Data!$Q:$Q=$B17 ), 1 ), 0 ) )"),0.0)</f>
        <v>0</v>
      </c>
    </row>
    <row r="18">
      <c r="A18" s="18" t="str">
        <f>IFERROR(__xludf.DUMMYFUNCTION("""COMPUTED_VALUE"""),"Jamal Washington")</f>
        <v>Jamal Washington</v>
      </c>
      <c r="B18" s="14">
        <f>IFERROR(__xludf.DUMMYFUNCTION("""COMPUTED_VALUE"""),46045.0)</f>
        <v>46045</v>
      </c>
      <c r="C18" s="14">
        <f>IFERROR(__xludf.DUMMYFUNCTION("""COMPUTED_VALUE"""),46052.0)</f>
        <v>46052</v>
      </c>
      <c r="D18" s="18">
        <f>IFERROR(__xludf.DUMMYFUNCTION("IF( A18="""", """", IFERROR( INDEX( FILTER( Data!$AA:$AA, Data!$C:$C=$A18, Data!$Q:$Q=$B18 ), 1 ), 0 ) )"),0.0)</f>
        <v>0</v>
      </c>
    </row>
    <row r="19">
      <c r="A19" s="18" t="str">
        <f>IFERROR(__xludf.DUMMYFUNCTION("""COMPUTED_VALUE"""),"Linh Tran")</f>
        <v>Linh Tran</v>
      </c>
      <c r="B19" s="14">
        <f>IFERROR(__xludf.DUMMYFUNCTION("""COMPUTED_VALUE"""),46045.0)</f>
        <v>46045</v>
      </c>
      <c r="C19" s="14">
        <f>IFERROR(__xludf.DUMMYFUNCTION("""COMPUTED_VALUE"""),46052.0)</f>
        <v>46052</v>
      </c>
      <c r="D19" s="18">
        <f>IFERROR(__xludf.DUMMYFUNCTION("IF( A19="""", """", IFERROR( INDEX( FILTER( Data!$AA:$AA, Data!$C:$C=$A19, Data!$Q:$Q=$B19 ), 1 ), 0 ) )"),0.0)</f>
        <v>0</v>
      </c>
    </row>
    <row r="20">
      <c r="A20" s="18" t="str">
        <f>IFERROR(__xludf.DUMMYFUNCTION("""COMPUTED_VALUE"""),"Olivia Bennett")</f>
        <v>Olivia Bennett</v>
      </c>
      <c r="B20" s="14">
        <f>IFERROR(__xludf.DUMMYFUNCTION("""COMPUTED_VALUE"""),46045.0)</f>
        <v>46045</v>
      </c>
      <c r="C20" s="14">
        <f>IFERROR(__xludf.DUMMYFUNCTION("""COMPUTED_VALUE"""),46052.0)</f>
        <v>46052</v>
      </c>
      <c r="D20" s="18">
        <f>IFERROR(__xludf.DUMMYFUNCTION("IF( A20="""", """", IFERROR( INDEX( FILTER( Data!$AA:$AA, Data!$C:$C=$A20, Data!$Q:$Q=$B20 ), 1 ), 0 ) )"),0.0)</f>
        <v>0</v>
      </c>
    </row>
    <row r="21">
      <c r="A21" s="18" t="str">
        <f>IFERROR(__xludf.DUMMYFUNCTION("""COMPUTED_VALUE"""),"Rohan Mehta")</f>
        <v>Rohan Mehta</v>
      </c>
      <c r="B21" s="14">
        <f>IFERROR(__xludf.DUMMYFUNCTION("""COMPUTED_VALUE"""),46045.0)</f>
        <v>46045</v>
      </c>
      <c r="C21" s="14">
        <f>IFERROR(__xludf.DUMMYFUNCTION("""COMPUTED_VALUE"""),46052.0)</f>
        <v>46052</v>
      </c>
      <c r="D21" s="18">
        <f>IFERROR(__xludf.DUMMYFUNCTION("IF( A21="""", """", IFERROR( INDEX( FILTER( Data!$AA:$AA, Data!$C:$C=$A21, Data!$Q:$Q=$B21 ), 1 ), 0 ) )"),0.0)</f>
        <v>0</v>
      </c>
    </row>
    <row r="22">
      <c r="A22" s="18" t="str">
        <f>IFERROR(__xludf.DUMMYFUNCTION("""COMPUTED_VALUE"""),"Isabella Flores")</f>
        <v>Isabella Flores</v>
      </c>
      <c r="B22" s="14">
        <f>IFERROR(__xludf.DUMMYFUNCTION("""COMPUTED_VALUE"""),46045.0)</f>
        <v>46045</v>
      </c>
      <c r="C22" s="14">
        <f>IFERROR(__xludf.DUMMYFUNCTION("""COMPUTED_VALUE"""),46052.0)</f>
        <v>46052</v>
      </c>
      <c r="D22" s="18">
        <f>IFERROR(__xludf.DUMMYFUNCTION("IF( A22="""", """", IFERROR( INDEX( FILTER( Data!$AA:$AA, Data!$C:$C=$A22, Data!$Q:$Q=$B22 ), 1 ), 0 ) )"),100.0)</f>
        <v>100</v>
      </c>
    </row>
    <row r="23">
      <c r="A23" s="18" t="str">
        <f>IFERROR(__xludf.DUMMYFUNCTION("""COMPUTED_VALUE"""),"Maya Patel")</f>
        <v>Maya Patel</v>
      </c>
      <c r="B23" s="14">
        <f>IFERROR(__xludf.DUMMYFUNCTION("""COMPUTED_VALUE"""),46045.0)</f>
        <v>46045</v>
      </c>
      <c r="C23" s="14">
        <f>IFERROR(__xludf.DUMMYFUNCTION("""COMPUTED_VALUE"""),46052.0)</f>
        <v>46052</v>
      </c>
      <c r="D23" s="18">
        <f>IFERROR(__xludf.DUMMYFUNCTION("IF( A23="""", """", IFERROR( INDEX( FILTER( Data!$AA:$AA, Data!$C:$C=$A23, Data!$Q:$Q=$B23 ), 1 ), 0 ) )"),100.0)</f>
        <v>100</v>
      </c>
    </row>
    <row r="24">
      <c r="A24" s="18" t="str">
        <f>IFERROR(__xludf.DUMMYFUNCTION("""COMPUTED_VALUE"""),"Alejandro Cruz")</f>
        <v>Alejandro Cruz</v>
      </c>
      <c r="B24" s="14">
        <f>IFERROR(__xludf.DUMMYFUNCTION("""COMPUTED_VALUE"""),46045.0)</f>
        <v>46045</v>
      </c>
      <c r="C24" s="14">
        <f>IFERROR(__xludf.DUMMYFUNCTION("""COMPUTED_VALUE"""),46052.0)</f>
        <v>46052</v>
      </c>
      <c r="D24" s="18">
        <f>IFERROR(__xludf.DUMMYFUNCTION("IF( A24="""", """", IFERROR( INDEX( FILTER( Data!$AA:$AA, Data!$C:$C=$A24, Data!$Q:$Q=$B24 ), 1 ), 0 ) )"),100.0)</f>
        <v>100</v>
      </c>
    </row>
    <row r="25">
      <c r="A25" s="18" t="str">
        <f>IFERROR(__xludf.DUMMYFUNCTION("""COMPUTED_VALUE"""),"Samuel Wright")</f>
        <v>Samuel Wright</v>
      </c>
      <c r="B25" s="14">
        <f>IFERROR(__xludf.DUMMYFUNCTION("""COMPUTED_VALUE"""),46045.0)</f>
        <v>46045</v>
      </c>
      <c r="C25" s="14">
        <f>IFERROR(__xludf.DUMMYFUNCTION("""COMPUTED_VALUE"""),46052.0)</f>
        <v>46052</v>
      </c>
      <c r="D25" s="18">
        <f>IFERROR(__xludf.DUMMYFUNCTION("IF( A25="""", """", IFERROR( INDEX( FILTER( Data!$AA:$AA, Data!$C:$C=$A25, Data!$Q:$Q=$B25 ), 1 ), 0 ) )"),0.0)</f>
        <v>0</v>
      </c>
    </row>
    <row r="26">
      <c r="A26" s="18" t="str">
        <f>IFERROR(__xludf.DUMMYFUNCTION("""COMPUTED_VALUE"""),"Caleb Robinson")</f>
        <v>Caleb Robinson</v>
      </c>
      <c r="B26" s="14">
        <f>IFERROR(__xludf.DUMMYFUNCTION("""COMPUTED_VALUE"""),46045.0)</f>
        <v>46045</v>
      </c>
      <c r="C26" s="14">
        <f>IFERROR(__xludf.DUMMYFUNCTION("""COMPUTED_VALUE"""),46052.0)</f>
        <v>46052</v>
      </c>
      <c r="D26" s="18">
        <f>IFERROR(__xludf.DUMMYFUNCTION("IF( A26="""", """", IFERROR( INDEX( FILTER( Data!$AA:$AA, Data!$C:$C=$A26, Data!$Q:$Q=$B26 ), 1 ), 0 ) )"),0.0)</f>
        <v>0</v>
      </c>
    </row>
    <row r="27">
      <c r="A27" s="18" t="str">
        <f>IFERROR(__xludf.DUMMYFUNCTION("""COMPUTED_VALUE"""),"Grace Nguyen")</f>
        <v>Grace Nguyen</v>
      </c>
      <c r="B27" s="14">
        <f>IFERROR(__xludf.DUMMYFUNCTION("""COMPUTED_VALUE"""),46045.0)</f>
        <v>46045</v>
      </c>
      <c r="C27" s="14">
        <f>IFERROR(__xludf.DUMMYFUNCTION("""COMPUTED_VALUE"""),46052.0)</f>
        <v>46052</v>
      </c>
      <c r="D27" s="18">
        <f>IFERROR(__xludf.DUMMYFUNCTION("IF( A27="""", """", IFERROR( INDEX( FILTER( Data!$AA:$AA, Data!$C:$C=$A27, Data!$Q:$Q=$B27 ), 1 ), 0 ) )"),0.0)</f>
        <v>0</v>
      </c>
    </row>
    <row r="28">
      <c r="A28" s="18" t="str">
        <f>IFERROR(__xludf.DUMMYFUNCTION("""COMPUTED_VALUE"""),"Sofia Martinez")</f>
        <v>Sofia Martinez</v>
      </c>
      <c r="B28" s="14">
        <f>IFERROR(__xludf.DUMMYFUNCTION("""COMPUTED_VALUE"""),46045.0)</f>
        <v>46045</v>
      </c>
      <c r="C28" s="14">
        <f>IFERROR(__xludf.DUMMYFUNCTION("""COMPUTED_VALUE"""),46052.0)</f>
        <v>46052</v>
      </c>
      <c r="D28" s="18">
        <f>IFERROR(__xludf.DUMMYFUNCTION("IF( A28="""", """", IFERROR( INDEX( FILTER( Data!$AA:$AA, Data!$C:$C=$A28, Data!$Q:$Q=$B28 ), 1 ), 0 ) )"),0.0)</f>
        <v>0</v>
      </c>
    </row>
    <row r="29">
      <c r="A29" s="18" t="str">
        <f>IFERROR(__xludf.DUMMYFUNCTION("""COMPUTED_VALUE"""),"Zainab Ali")</f>
        <v>Zainab Ali</v>
      </c>
      <c r="B29" s="14">
        <f>IFERROR(__xludf.DUMMYFUNCTION("""COMPUTED_VALUE"""),46045.0)</f>
        <v>46045</v>
      </c>
      <c r="C29" s="14">
        <f>IFERROR(__xludf.DUMMYFUNCTION("""COMPUTED_VALUE"""),46052.0)</f>
        <v>46052</v>
      </c>
      <c r="D29" s="18">
        <f>IFERROR(__xludf.DUMMYFUNCTION("IF( A29="""", """", IFERROR( INDEX( FILTER( Data!$AA:$AA, Data!$C:$C=$A29, Data!$Q:$Q=$B29 ), 1 ), 0 ) )"),0.0)</f>
        <v>0</v>
      </c>
    </row>
    <row r="30">
      <c r="A30" s="18" t="str">
        <f>IFERROR(__xludf.DUMMYFUNCTION("""COMPUTED_VALUE"""),"Ethan Brooks")</f>
        <v>Ethan Brooks</v>
      </c>
      <c r="B30" s="14">
        <f>IFERROR(__xludf.DUMMYFUNCTION("""COMPUTED_VALUE"""),46045.0)</f>
        <v>46045</v>
      </c>
      <c r="C30" s="14">
        <f>IFERROR(__xludf.DUMMYFUNCTION("""COMPUTED_VALUE"""),46052.0)</f>
        <v>46052</v>
      </c>
      <c r="D30" s="18">
        <f>IFERROR(__xludf.DUMMYFUNCTION("IF( A30="""", """", IFERROR( INDEX( FILTER( Data!$AA:$AA, Data!$C:$C=$A30, Data!$Q:$Q=$B30 ), 1 ), 0 ) )"),0.0)</f>
        <v>0</v>
      </c>
    </row>
    <row r="31">
      <c r="A31" s="18" t="str">
        <f>IFERROR(__xludf.DUMMYFUNCTION("""COMPUTED_VALUE"""),"Fatima Hassan")</f>
        <v>Fatima Hassan</v>
      </c>
      <c r="B31" s="14">
        <f>IFERROR(__xludf.DUMMYFUNCTION("""COMPUTED_VALUE"""),46045.0)</f>
        <v>46045</v>
      </c>
      <c r="C31" s="14">
        <f>IFERROR(__xludf.DUMMYFUNCTION("""COMPUTED_VALUE"""),46052.0)</f>
        <v>46052</v>
      </c>
      <c r="D31" s="18">
        <f>IFERROR(__xludf.DUMMYFUNCTION("IF( A31="""", """", IFERROR( INDEX( FILTER( Data!$AA:$AA, Data!$C:$C=$A31, Data!$Q:$Q=$B31 ), 1 ), 0 ) )"),100.0)</f>
        <v>100</v>
      </c>
    </row>
    <row r="32">
      <c r="A32" s="18" t="str">
        <f>IFERROR(__xludf.DUMMYFUNCTION("""COMPUTED_VALUE"""),"Marcus Thompson")</f>
        <v>Marcus Thompson</v>
      </c>
      <c r="B32" s="14">
        <f>IFERROR(__xludf.DUMMYFUNCTION("""COMPUTED_VALUE"""),46045.0)</f>
        <v>46045</v>
      </c>
      <c r="C32" s="14">
        <f>IFERROR(__xludf.DUMMYFUNCTION("""COMPUTED_VALUE"""),46052.0)</f>
        <v>46052</v>
      </c>
      <c r="D32" s="18">
        <f>IFERROR(__xludf.DUMMYFUNCTION("IF( A32="""", """", IFERROR( INDEX( FILTER( Data!$AA:$AA, Data!$C:$C=$A32, Data!$Q:$Q=$B32 ), 1 ), 0 ) )"),0.0)</f>
        <v>0</v>
      </c>
    </row>
    <row r="33">
      <c r="A33" s="18" t="str">
        <f>IFERROR(__xludf.DUMMYFUNCTION("""COMPUTED_VALUE"""),"Priya Nair")</f>
        <v>Priya Nair</v>
      </c>
      <c r="B33" s="14">
        <f>IFERROR(__xludf.DUMMYFUNCTION("""COMPUTED_VALUE"""),46045.0)</f>
        <v>46045</v>
      </c>
      <c r="C33" s="14">
        <f>IFERROR(__xludf.DUMMYFUNCTION("""COMPUTED_VALUE"""),46052.0)</f>
        <v>46052</v>
      </c>
      <c r="D33" s="18">
        <f>IFERROR(__xludf.DUMMYFUNCTION("IF( A33="""", """", IFERROR( INDEX( FILTER( Data!$AA:$AA, Data!$C:$C=$A33, Data!$Q:$Q=$B33 ), 1 ), 0 ) )"),100.0)</f>
        <v>100</v>
      </c>
    </row>
    <row r="34">
      <c r="A34" s="18" t="str">
        <f>IFERROR(__xludf.DUMMYFUNCTION("""COMPUTED_VALUE"""),"Chloe Park")</f>
        <v>Chloe Park</v>
      </c>
      <c r="B34" s="14">
        <f>IFERROR(__xludf.DUMMYFUNCTION("""COMPUTED_VALUE"""),46045.0)</f>
        <v>46045</v>
      </c>
      <c r="C34" s="14">
        <f>IFERROR(__xludf.DUMMYFUNCTION("""COMPUTED_VALUE"""),46052.0)</f>
        <v>46052</v>
      </c>
      <c r="D34" s="18">
        <f>IFERROR(__xludf.DUMMYFUNCTION("IF( A34="""", """", IFERROR( INDEX( FILTER( Data!$AA:$AA, Data!$C:$C=$A34, Data!$Q:$Q=$B34 ), 1 ), 0 ) )"),0.0)</f>
        <v>0</v>
      </c>
    </row>
    <row r="35">
      <c r="A35" s="18" t="str">
        <f>IFERROR(__xludf.DUMMYFUNCTION("""COMPUTED_VALUE"""),"Emily Chen")</f>
        <v>Emily Chen</v>
      </c>
      <c r="B35" s="14">
        <f>IFERROR(__xludf.DUMMYFUNCTION("""COMPUTED_VALUE"""),46045.0)</f>
        <v>46045</v>
      </c>
      <c r="C35" s="14">
        <f>IFERROR(__xludf.DUMMYFUNCTION("""COMPUTED_VALUE"""),46052.0)</f>
        <v>46052</v>
      </c>
      <c r="D35" s="18">
        <f>IFERROR(__xludf.DUMMYFUNCTION("IF( A35="""", """", IFERROR( INDEX( FILTER( Data!$AA:$AA, Data!$C:$C=$A35, Data!$Q:$Q=$B35 ), 1 ), 0 ) )"),0.0)</f>
        <v>0</v>
      </c>
    </row>
    <row r="36">
      <c r="A36" s="18" t="str">
        <f>IFERROR(__xludf.DUMMYFUNCTION("""COMPUTED_VALUE"""),"Ahmed El-Sayed")</f>
        <v>Ahmed El-Sayed</v>
      </c>
      <c r="B36" s="14">
        <f>IFERROR(__xludf.DUMMYFUNCTION("""COMPUTED_VALUE"""),46045.0)</f>
        <v>46045</v>
      </c>
      <c r="C36" s="14">
        <f>IFERROR(__xludf.DUMMYFUNCTION("""COMPUTED_VALUE"""),46052.0)</f>
        <v>46052</v>
      </c>
      <c r="D36" s="18">
        <f>IFERROR(__xludf.DUMMYFUNCTION("IF( A36="""", """", IFERROR( INDEX( FILTER( Data!$AA:$AA, Data!$C:$C=$A36, Data!$Q:$Q=$B36 ), 1 ), 0 ) )"),0.0)</f>
        <v>0</v>
      </c>
    </row>
    <row r="37">
      <c r="A37" s="18" t="str">
        <f>IFERROR(__xludf.DUMMYFUNCTION("""COMPUTED_VALUE"""),"Natalie Rivera")</f>
        <v>Natalie Rivera</v>
      </c>
      <c r="B37" s="14">
        <f>IFERROR(__xludf.DUMMYFUNCTION("""COMPUTED_VALUE"""),46045.0)</f>
        <v>46045</v>
      </c>
      <c r="C37" s="14">
        <f>IFERROR(__xludf.DUMMYFUNCTION("""COMPUTED_VALUE"""),46052.0)</f>
        <v>46052</v>
      </c>
      <c r="D37" s="18">
        <f>IFERROR(__xludf.DUMMYFUNCTION("IF( A37="""", """", IFERROR( INDEX( FILTER( Data!$AA:$AA, Data!$C:$C=$A37, Data!$Q:$Q=$B37 ), 1 ), 0 ) )"),0.0)</f>
        <v>0</v>
      </c>
    </row>
    <row r="38">
      <c r="A38" s="18" t="str">
        <f>IFERROR(__xludf.DUMMYFUNCTION("""COMPUTED_VALUE"""),"Benjamin Stein")</f>
        <v>Benjamin Stein</v>
      </c>
      <c r="B38" s="14">
        <f>IFERROR(__xludf.DUMMYFUNCTION("""COMPUTED_VALUE"""),46045.0)</f>
        <v>46045</v>
      </c>
      <c r="C38" s="14">
        <f>IFERROR(__xludf.DUMMYFUNCTION("""COMPUTED_VALUE"""),46052.0)</f>
        <v>46052</v>
      </c>
      <c r="D38" s="18">
        <f>IFERROR(__xludf.DUMMYFUNCTION("IF( A38="""", """", IFERROR( INDEX( FILTER( Data!$AA:$AA, Data!$C:$C=$A38, Data!$Q:$Q=$B38 ), 1 ), 0 ) )"),0.0)</f>
        <v>0</v>
      </c>
    </row>
    <row r="39">
      <c r="A39" s="18" t="str">
        <f>IFERROR(__xludf.DUMMYFUNCTION("""COMPUTED_VALUE"""),"Leila Abdallah")</f>
        <v>Leila Abdallah</v>
      </c>
      <c r="B39" s="14">
        <f>IFERROR(__xludf.DUMMYFUNCTION("""COMPUTED_VALUE"""),46045.0)</f>
        <v>46045</v>
      </c>
      <c r="C39" s="14">
        <f>IFERROR(__xludf.DUMMYFUNCTION("""COMPUTED_VALUE"""),46052.0)</f>
        <v>46052</v>
      </c>
      <c r="D39" s="18">
        <f>IFERROR(__xludf.DUMMYFUNCTION("IF( A39="""", """", IFERROR( INDEX( FILTER( Data!$AA:$AA, Data!$C:$C=$A39, Data!$Q:$Q=$B39 ), 1 ), 0 ) )"),0.0)</f>
        <v>0</v>
      </c>
    </row>
    <row r="40">
      <c r="A40" s="18" t="str">
        <f>IFERROR(__xludf.DUMMYFUNCTION("""COMPUTED_VALUE"""),"Jordan Williams")</f>
        <v>Jordan Williams</v>
      </c>
      <c r="B40" s="14">
        <f>IFERROR(__xludf.DUMMYFUNCTION("""COMPUTED_VALUE"""),46045.0)</f>
        <v>46045</v>
      </c>
      <c r="C40" s="14">
        <f>IFERROR(__xludf.DUMMYFUNCTION("""COMPUTED_VALUE"""),46052.0)</f>
        <v>46052</v>
      </c>
      <c r="D40" s="18">
        <f>IFERROR(__xludf.DUMMYFUNCTION("IF( A40="""", """", IFERROR( INDEX( FILTER( Data!$AA:$AA, Data!$C:$C=$A40, Data!$Q:$Q=$B40 ), 1 ), 0 ) )"),0.0)</f>
        <v>0</v>
      </c>
    </row>
    <row r="41">
      <c r="A41" s="18" t="str">
        <f>IFERROR(__xludf.DUMMYFUNCTION("""COMPUTED_VALUE"""),"Daniel Kim")</f>
        <v>Daniel Kim</v>
      </c>
      <c r="B41" s="14">
        <f>IFERROR(__xludf.DUMMYFUNCTION("""COMPUTED_VALUE"""),46045.0)</f>
        <v>46045</v>
      </c>
      <c r="C41" s="14">
        <f>IFERROR(__xludf.DUMMYFUNCTION("""COMPUTED_VALUE"""),46052.0)</f>
        <v>46052</v>
      </c>
      <c r="D41" s="18">
        <f>IFERROR(__xludf.DUMMYFUNCTION("IF( A41="""", """", IFERROR( INDEX( FILTER( Data!$AA:$AA, Data!$C:$C=$A41, Data!$Q:$Q=$B41 ), 1 ), 0 ) )"),0.0)</f>
        <v>0</v>
      </c>
    </row>
    <row r="42">
      <c r="A42" s="18" t="str">
        <f>IFERROR(__xludf.DUMMYFUNCTION("""COMPUTED_VALUE"""),"David Okafor")</f>
        <v>David Okafor</v>
      </c>
      <c r="B42" s="14">
        <f>IFERROR(__xludf.DUMMYFUNCTION("""COMPUTED_VALUE"""),46045.0)</f>
        <v>46045</v>
      </c>
      <c r="C42" s="14">
        <f>IFERROR(__xludf.DUMMYFUNCTION("""COMPUTED_VALUE"""),46052.0)</f>
        <v>46052</v>
      </c>
      <c r="D42" s="18">
        <f>IFERROR(__xludf.DUMMYFUNCTION("IF( A42="""", """", IFERROR( INDEX( FILTER( Data!$AA:$AA, Data!$C:$C=$A42, Data!$Q:$Q=$B42 ), 1 ), 0 ) )"),0.0)</f>
        <v>0</v>
      </c>
    </row>
    <row r="43">
      <c r="A43" s="18" t="str">
        <f>IFERROR(__xludf.DUMMYFUNCTION("""COMPUTED_VALUE"""),"Noah Levine")</f>
        <v>Noah Levine</v>
      </c>
      <c r="B43" s="14">
        <f>IFERROR(__xludf.DUMMYFUNCTION("""COMPUTED_VALUE"""),46045.0)</f>
        <v>46045</v>
      </c>
      <c r="C43" s="14">
        <f>IFERROR(__xludf.DUMMYFUNCTION("""COMPUTED_VALUE"""),46052.0)</f>
        <v>46052</v>
      </c>
      <c r="D43" s="18">
        <f>IFERROR(__xludf.DUMMYFUNCTION("IF( A43="""", """", IFERROR( INDEX( FILTER( Data!$AA:$AA, Data!$C:$C=$A43, Data!$Q:$Q=$B43 ), 1 ), 0 ) )"),0.0)</f>
        <v>0</v>
      </c>
    </row>
    <row r="44">
      <c r="A44" s="18" t="str">
        <f>IFERROR(__xludf.DUMMYFUNCTION("""COMPUTED_VALUE"""),"Julia Kowalski")</f>
        <v>Julia Kowalski</v>
      </c>
      <c r="B44" s="14">
        <f>IFERROR(__xludf.DUMMYFUNCTION("""COMPUTED_VALUE"""),46045.0)</f>
        <v>46045</v>
      </c>
      <c r="C44" s="14">
        <f>IFERROR(__xludf.DUMMYFUNCTION("""COMPUTED_VALUE"""),46052.0)</f>
        <v>46052</v>
      </c>
      <c r="D44" s="18">
        <f>IFERROR(__xludf.DUMMYFUNCTION("IF( A44="""", """", IFERROR( INDEX( FILTER( Data!$AA:$AA, Data!$C:$C=$A44, Data!$Q:$Q=$B44 ), 1 ), 0 ) )"),0.0)</f>
        <v>0</v>
      </c>
    </row>
    <row r="45">
      <c r="A45" s="18" t="str">
        <f>IFERROR(__xludf.DUMMYFUNCTION("""COMPUTED_VALUE"""),"Victor Ivanov")</f>
        <v>Victor Ivanov</v>
      </c>
      <c r="B45" s="14">
        <f>IFERROR(__xludf.DUMMYFUNCTION("""COMPUTED_VALUE"""),46045.0)</f>
        <v>46045</v>
      </c>
      <c r="C45" s="14">
        <f>IFERROR(__xludf.DUMMYFUNCTION("""COMPUTED_VALUE"""),46052.0)</f>
        <v>46052</v>
      </c>
      <c r="D45" s="18">
        <f>IFERROR(__xludf.DUMMYFUNCTION("IF( A45="""", """", IFERROR( INDEX( FILTER( Data!$AA:$AA, Data!$C:$C=$A45, Data!$Q:$Q=$B45 ), 1 ), 0 ) )"),0.0)</f>
        <v>0</v>
      </c>
    </row>
    <row r="46">
      <c r="A46" s="18" t="str">
        <f>IFERROR(__xludf.DUMMYFUNCTION("""COMPUTED_VALUE"""),"Zainab Ali")</f>
        <v>Zainab Ali</v>
      </c>
      <c r="B46" s="14">
        <f>IFERROR(__xludf.DUMMYFUNCTION("""COMPUTED_VALUE"""),46052.0)</f>
        <v>46052</v>
      </c>
      <c r="C46" s="14">
        <f>IFERROR(__xludf.DUMMYFUNCTION("""COMPUTED_VALUE"""),46052.0)</f>
        <v>46052</v>
      </c>
      <c r="D46" s="18">
        <f>IFERROR(__xludf.DUMMYFUNCTION("IF( A46="""", """", IFERROR( INDEX( FILTER( Data!$AA:$AA, Data!$C:$C=$A46, Data!$Q:$Q=$B46 ), 1 ), 0 ) )"),0.0)</f>
        <v>0</v>
      </c>
    </row>
    <row r="47">
      <c r="A47" s="18" t="str">
        <f>IFERROR(__xludf.DUMMYFUNCTION("""COMPUTED_VALUE"""),"Chloe Park")</f>
        <v>Chloe Park</v>
      </c>
      <c r="B47" s="14">
        <f>IFERROR(__xludf.DUMMYFUNCTION("""COMPUTED_VALUE"""),46052.0)</f>
        <v>46052</v>
      </c>
      <c r="C47" s="14">
        <f>IFERROR(__xludf.DUMMYFUNCTION("""COMPUTED_VALUE"""),46052.0)</f>
        <v>46052</v>
      </c>
      <c r="D47" s="18">
        <f>IFERROR(__xludf.DUMMYFUNCTION("IF( A47="""", """", IFERROR( INDEX( FILTER( Data!$AA:$AA, Data!$C:$C=$A47, Data!$Q:$Q=$B47 ), 1 ), 0 ) )"),0.0)</f>
        <v>0</v>
      </c>
    </row>
    <row r="48">
      <c r="A48" s="18" t="str">
        <f>IFERROR(__xludf.DUMMYFUNCTION("""COMPUTED_VALUE"""),"Jamal Washington")</f>
        <v>Jamal Washington</v>
      </c>
      <c r="B48" s="14">
        <f>IFERROR(__xludf.DUMMYFUNCTION("""COMPUTED_VALUE"""),46052.0)</f>
        <v>46052</v>
      </c>
      <c r="C48" s="14">
        <f>IFERROR(__xludf.DUMMYFUNCTION("""COMPUTED_VALUE"""),46052.0)</f>
        <v>46052</v>
      </c>
      <c r="D48" s="18">
        <f>IFERROR(__xludf.DUMMYFUNCTION("IF( A48="""", """", IFERROR( INDEX( FILTER( Data!$AA:$AA, Data!$C:$C=$A48, Data!$Q:$Q=$B48 ), 1 ), 0 ) )"),0.0)</f>
        <v>0</v>
      </c>
    </row>
    <row r="49">
      <c r="A49" s="18" t="str">
        <f>IFERROR(__xludf.DUMMYFUNCTION("""COMPUTED_VALUE"""),"Grace Nguyen")</f>
        <v>Grace Nguyen</v>
      </c>
      <c r="B49" s="14">
        <f>IFERROR(__xludf.DUMMYFUNCTION("""COMPUTED_VALUE"""),46052.0)</f>
        <v>46052</v>
      </c>
      <c r="C49" s="14">
        <f>IFERROR(__xludf.DUMMYFUNCTION("""COMPUTED_VALUE"""),46052.0)</f>
        <v>46052</v>
      </c>
      <c r="D49" s="18">
        <f>IFERROR(__xludf.DUMMYFUNCTION("IF( A49="""", """", IFERROR( INDEX( FILTER( Data!$AA:$AA, Data!$C:$C=$A49, Data!$Q:$Q=$B49 ), 1 ), 0 ) )"),150.0)</f>
        <v>150</v>
      </c>
    </row>
    <row r="50">
      <c r="A50" s="18" t="str">
        <f>IFERROR(__xludf.DUMMYFUNCTION("""COMPUTED_VALUE"""),"Amara Mensah")</f>
        <v>Amara Mensah</v>
      </c>
      <c r="B50" s="14">
        <f>IFERROR(__xludf.DUMMYFUNCTION("""COMPUTED_VALUE"""),46052.0)</f>
        <v>46052</v>
      </c>
      <c r="C50" s="14">
        <f>IFERROR(__xludf.DUMMYFUNCTION("""COMPUTED_VALUE"""),46052.0)</f>
        <v>46052</v>
      </c>
      <c r="D50" s="18">
        <f>IFERROR(__xludf.DUMMYFUNCTION("IF( A50="""", """", IFERROR( INDEX( FILTER( Data!$AA:$AA, Data!$C:$C=$A50, Data!$Q:$Q=$B50 ), 1 ), 0 ) )"),0.0)</f>
        <v>0</v>
      </c>
    </row>
    <row r="51">
      <c r="A51" s="18" t="str">
        <f>IFERROR(__xludf.DUMMYFUNCTION("""COMPUTED_VALUE"""),"Tyler Price")</f>
        <v>Tyler Price</v>
      </c>
      <c r="B51" s="14">
        <f>IFERROR(__xludf.DUMMYFUNCTION("""COMPUTED_VALUE"""),46052.0)</f>
        <v>46052</v>
      </c>
      <c r="C51" s="14">
        <f>IFERROR(__xludf.DUMMYFUNCTION("""COMPUTED_VALUE"""),46052.0)</f>
        <v>46052</v>
      </c>
      <c r="D51" s="18">
        <f>IFERROR(__xludf.DUMMYFUNCTION("IF( A51="""", """", IFERROR( INDEX( FILTER( Data!$AA:$AA, Data!$C:$C=$A51, Data!$Q:$Q=$B51 ), 1 ), 0 ) )"),0.0)</f>
        <v>0</v>
      </c>
    </row>
    <row r="52">
      <c r="A52" s="18" t="str">
        <f>IFERROR(__xludf.DUMMYFUNCTION("""COMPUTED_VALUE"""),"David Okafor")</f>
        <v>David Okafor</v>
      </c>
      <c r="B52" s="14">
        <f>IFERROR(__xludf.DUMMYFUNCTION("""COMPUTED_VALUE"""),46052.0)</f>
        <v>46052</v>
      </c>
      <c r="C52" s="14">
        <f>IFERROR(__xludf.DUMMYFUNCTION("""COMPUTED_VALUE"""),46052.0)</f>
        <v>46052</v>
      </c>
      <c r="D52" s="18">
        <f>IFERROR(__xludf.DUMMYFUNCTION("IF( A52="""", """", IFERROR( INDEX( FILTER( Data!$AA:$AA, Data!$C:$C=$A52, Data!$Q:$Q=$B52 ), 1 ), 0 ) )"),0.0)</f>
        <v>0</v>
      </c>
    </row>
    <row r="53">
      <c r="A53" s="18" t="str">
        <f>IFERROR(__xludf.DUMMYFUNCTION("""COMPUTED_VALUE"""),"Jordan Williams")</f>
        <v>Jordan Williams</v>
      </c>
      <c r="B53" s="14">
        <f>IFERROR(__xludf.DUMMYFUNCTION("""COMPUTED_VALUE"""),46052.0)</f>
        <v>46052</v>
      </c>
      <c r="C53" s="14">
        <f>IFERROR(__xludf.DUMMYFUNCTION("""COMPUTED_VALUE"""),46052.0)</f>
        <v>46052</v>
      </c>
      <c r="D53" s="18">
        <f>IFERROR(__xludf.DUMMYFUNCTION("IF( A53="""", """", IFERROR( INDEX( FILTER( Data!$AA:$AA, Data!$C:$C=$A53, Data!$Q:$Q=$B53 ), 1 ), 0 ) )"),0.0)</f>
        <v>0</v>
      </c>
    </row>
    <row r="54">
      <c r="A54" s="18" t="str">
        <f>IFERROR(__xludf.DUMMYFUNCTION("""COMPUTED_VALUE"""),"Aisha Johnson")</f>
        <v>Aisha Johnson</v>
      </c>
      <c r="B54" s="14">
        <f>IFERROR(__xludf.DUMMYFUNCTION("""COMPUTED_VALUE"""),46052.0)</f>
        <v>46052</v>
      </c>
      <c r="C54" s="14">
        <f>IFERROR(__xludf.DUMMYFUNCTION("""COMPUTED_VALUE"""),46052.0)</f>
        <v>46052</v>
      </c>
      <c r="D54" s="18">
        <f>IFERROR(__xludf.DUMMYFUNCTION("IF( A54="""", """", IFERROR( INDEX( FILTER( Data!$AA:$AA, Data!$C:$C=$A54, Data!$Q:$Q=$B54 ), 1 ), 0 ) )"),0.0)</f>
        <v>0</v>
      </c>
    </row>
    <row r="55">
      <c r="A55" s="18" t="str">
        <f>IFERROR(__xludf.DUMMYFUNCTION("""COMPUTED_VALUE"""),"Mei Liu")</f>
        <v>Mei Liu</v>
      </c>
      <c r="B55" s="14">
        <f>IFERROR(__xludf.DUMMYFUNCTION("""COMPUTED_VALUE"""),46052.0)</f>
        <v>46052</v>
      </c>
      <c r="C55" s="14">
        <f>IFERROR(__xludf.DUMMYFUNCTION("""COMPUTED_VALUE"""),46052.0)</f>
        <v>46052</v>
      </c>
      <c r="D55" s="18">
        <f>IFERROR(__xludf.DUMMYFUNCTION("IF( A55="""", """", IFERROR( INDEX( FILTER( Data!$AA:$AA, Data!$C:$C=$A55, Data!$Q:$Q=$B55 ), 1 ), 0 ) )"),0.0)</f>
        <v>0</v>
      </c>
    </row>
    <row r="56">
      <c r="A56" s="18" t="str">
        <f>IFERROR(__xludf.DUMMYFUNCTION("""COMPUTED_VALUE"""),"Marcus Thompson")</f>
        <v>Marcus Thompson</v>
      </c>
      <c r="B56" s="14">
        <f>IFERROR(__xludf.DUMMYFUNCTION("""COMPUTED_VALUE"""),46052.0)</f>
        <v>46052</v>
      </c>
      <c r="C56" s="14">
        <f>IFERROR(__xludf.DUMMYFUNCTION("""COMPUTED_VALUE"""),46052.0)</f>
        <v>46052</v>
      </c>
      <c r="D56" s="18">
        <f>IFERROR(__xludf.DUMMYFUNCTION("IF( A56="""", """", IFERROR( INDEX( FILTER( Data!$AA:$AA, Data!$C:$C=$A56, Data!$Q:$Q=$B56 ), 1 ), 0 ) )"),0.0)</f>
        <v>0</v>
      </c>
    </row>
    <row r="57">
      <c r="A57" s="18" t="str">
        <f>IFERROR(__xludf.DUMMYFUNCTION("""COMPUTED_VALUE"""),"Luis Herrera")</f>
        <v>Luis Herrera</v>
      </c>
      <c r="B57" s="14">
        <f>IFERROR(__xludf.DUMMYFUNCTION("""COMPUTED_VALUE"""),46052.0)</f>
        <v>46052</v>
      </c>
      <c r="C57" s="14">
        <f>IFERROR(__xludf.DUMMYFUNCTION("""COMPUTED_VALUE"""),46052.0)</f>
        <v>46052</v>
      </c>
      <c r="D57" s="18">
        <f>IFERROR(__xludf.DUMMYFUNCTION("IF( A57="""", """", IFERROR( INDEX( FILTER( Data!$AA:$AA, Data!$C:$C=$A57, Data!$Q:$Q=$B57 ), 1 ), 0 ) )"),0.0)</f>
        <v>0</v>
      </c>
    </row>
    <row r="58">
      <c r="A58" s="18" t="str">
        <f>IFERROR(__xludf.DUMMYFUNCTION("""COMPUTED_VALUE"""),"Benjamin Stein")</f>
        <v>Benjamin Stein</v>
      </c>
      <c r="B58" s="14">
        <f>IFERROR(__xludf.DUMMYFUNCTION("""COMPUTED_VALUE"""),46052.0)</f>
        <v>46052</v>
      </c>
      <c r="C58" s="14">
        <f>IFERROR(__xludf.DUMMYFUNCTION("""COMPUTED_VALUE"""),46052.0)</f>
        <v>46052</v>
      </c>
      <c r="D58" s="18">
        <f>IFERROR(__xludf.DUMMYFUNCTION("IF( A58="""", """", IFERROR( INDEX( FILTER( Data!$AA:$AA, Data!$C:$C=$A58, Data!$Q:$Q=$B58 ), 1 ), 0 ) )"),0.0)</f>
        <v>0</v>
      </c>
    </row>
    <row r="59">
      <c r="A59" s="18" t="str">
        <f>IFERROR(__xludf.DUMMYFUNCTION("""COMPUTED_VALUE"""),"Emily Chen")</f>
        <v>Emily Chen</v>
      </c>
      <c r="B59" s="14">
        <f>IFERROR(__xludf.DUMMYFUNCTION("""COMPUTED_VALUE"""),46052.0)</f>
        <v>46052</v>
      </c>
      <c r="C59" s="14">
        <f>IFERROR(__xludf.DUMMYFUNCTION("""COMPUTED_VALUE"""),46052.0)</f>
        <v>46052</v>
      </c>
      <c r="D59" s="18">
        <f>IFERROR(__xludf.DUMMYFUNCTION("IF( A59="""", """", IFERROR( INDEX( FILTER( Data!$AA:$AA, Data!$C:$C=$A59, Data!$Q:$Q=$B59 ), 1 ), 0 ) )"),0.0)</f>
        <v>0</v>
      </c>
    </row>
    <row r="60">
      <c r="A60" s="18" t="str">
        <f>IFERROR(__xludf.DUMMYFUNCTION("""COMPUTED_VALUE"""),"Sarah Ahmed")</f>
        <v>Sarah Ahmed</v>
      </c>
      <c r="B60" s="14">
        <f>IFERROR(__xludf.DUMMYFUNCTION("""COMPUTED_VALUE"""),46052.0)</f>
        <v>46052</v>
      </c>
      <c r="C60" s="14">
        <f>IFERROR(__xludf.DUMMYFUNCTION("""COMPUTED_VALUE"""),46052.0)</f>
        <v>46052</v>
      </c>
      <c r="D60" s="18">
        <f>IFERROR(__xludf.DUMMYFUNCTION("IF( A60="""", """", IFERROR( INDEX( FILTER( Data!$AA:$AA, Data!$C:$C=$A60, Data!$Q:$Q=$B60 ), 1 ), 0 ) )"),0.0)</f>
        <v>0</v>
      </c>
    </row>
    <row r="61">
      <c r="A61" s="18" t="str">
        <f>IFERROR(__xludf.DUMMYFUNCTION("""COMPUTED_VALUE"""),"Julia Kowalski")</f>
        <v>Julia Kowalski</v>
      </c>
      <c r="B61" s="14">
        <f>IFERROR(__xludf.DUMMYFUNCTION("""COMPUTED_VALUE"""),46052.0)</f>
        <v>46052</v>
      </c>
      <c r="C61" s="14">
        <f>IFERROR(__xludf.DUMMYFUNCTION("""COMPUTED_VALUE"""),46052.0)</f>
        <v>46052</v>
      </c>
      <c r="D61" s="18">
        <f>IFERROR(__xludf.DUMMYFUNCTION("IF( A61="""", """", IFERROR( INDEX( FILTER( Data!$AA:$AA, Data!$C:$C=$A61, Data!$Q:$Q=$B61 ), 1 ), 0 ) )"),150.0)</f>
        <v>150</v>
      </c>
    </row>
    <row r="62">
      <c r="A62" s="18" t="str">
        <f>IFERROR(__xludf.DUMMYFUNCTION("""COMPUTED_VALUE"""),"Ahmed El-Sayed")</f>
        <v>Ahmed El-Sayed</v>
      </c>
      <c r="B62" s="14">
        <f>IFERROR(__xludf.DUMMYFUNCTION("""COMPUTED_VALUE"""),46052.0)</f>
        <v>46052</v>
      </c>
      <c r="C62" s="14">
        <f>IFERROR(__xludf.DUMMYFUNCTION("""COMPUTED_VALUE"""),46052.0)</f>
        <v>46052</v>
      </c>
      <c r="D62" s="18">
        <f>IFERROR(__xludf.DUMMYFUNCTION("IF( A62="""", """", IFERROR( INDEX( FILTER( Data!$AA:$AA, Data!$C:$C=$A62, Data!$Q:$Q=$B62 ), 1 ), 0 ) )"),0.0)</f>
        <v>0</v>
      </c>
    </row>
    <row r="63">
      <c r="A63" s="18" t="str">
        <f>IFERROR(__xludf.DUMMYFUNCTION("""COMPUTED_VALUE"""),"Maya Patel")</f>
        <v>Maya Patel</v>
      </c>
      <c r="B63" s="14">
        <f>IFERROR(__xludf.DUMMYFUNCTION("""COMPUTED_VALUE"""),46052.0)</f>
        <v>46052</v>
      </c>
      <c r="C63" s="14">
        <f>IFERROR(__xludf.DUMMYFUNCTION("""COMPUTED_VALUE"""),46052.0)</f>
        <v>46052</v>
      </c>
      <c r="D63" s="18">
        <f>IFERROR(__xludf.DUMMYFUNCTION("IF( A63="""", """", IFERROR( INDEX( FILTER( Data!$AA:$AA, Data!$C:$C=$A63, Data!$Q:$Q=$B63 ), 1 ), 0 ) )"),150.0)</f>
        <v>150</v>
      </c>
    </row>
    <row r="64">
      <c r="A64" s="18" t="str">
        <f>IFERROR(__xludf.DUMMYFUNCTION("""COMPUTED_VALUE"""),"Priya Nair")</f>
        <v>Priya Nair</v>
      </c>
      <c r="B64" s="14">
        <f>IFERROR(__xludf.DUMMYFUNCTION("""COMPUTED_VALUE"""),46052.0)</f>
        <v>46052</v>
      </c>
      <c r="C64" s="14">
        <f>IFERROR(__xludf.DUMMYFUNCTION("""COMPUTED_VALUE"""),46052.0)</f>
        <v>46052</v>
      </c>
      <c r="D64" s="18">
        <f>IFERROR(__xludf.DUMMYFUNCTION("IF( A64="""", """", IFERROR( INDEX( FILTER( Data!$AA:$AA, Data!$C:$C=$A64, Data!$Q:$Q=$B64 ), 1 ), 0 ) )"),0.0)</f>
        <v>0</v>
      </c>
    </row>
    <row r="65">
      <c r="A65" s="18" t="str">
        <f>IFERROR(__xludf.DUMMYFUNCTION("""COMPUTED_VALUE"""),"Alejandro Cruz")</f>
        <v>Alejandro Cruz</v>
      </c>
      <c r="B65" s="14">
        <f>IFERROR(__xludf.DUMMYFUNCTION("""COMPUTED_VALUE"""),46052.0)</f>
        <v>46052</v>
      </c>
      <c r="C65" s="14">
        <f>IFERROR(__xludf.DUMMYFUNCTION("""COMPUTED_VALUE"""),46052.0)</f>
        <v>46052</v>
      </c>
      <c r="D65" s="18">
        <f>IFERROR(__xludf.DUMMYFUNCTION("IF( A65="""", """", IFERROR( INDEX( FILTER( Data!$AA:$AA, Data!$C:$C=$A65, Data!$Q:$Q=$B65 ), 1 ), 0 ) )"),0.0)</f>
        <v>0</v>
      </c>
    </row>
    <row r="66">
      <c r="A66" s="18" t="str">
        <f>IFERROR(__xludf.DUMMYFUNCTION("""COMPUTED_VALUE"""),"Victor Ivanov")</f>
        <v>Victor Ivanov</v>
      </c>
      <c r="B66" s="14">
        <f>IFERROR(__xludf.DUMMYFUNCTION("""COMPUTED_VALUE"""),46052.0)</f>
        <v>46052</v>
      </c>
      <c r="C66" s="14">
        <f>IFERROR(__xludf.DUMMYFUNCTION("""COMPUTED_VALUE"""),46052.0)</f>
        <v>46052</v>
      </c>
      <c r="D66" s="18">
        <f>IFERROR(__xludf.DUMMYFUNCTION("IF( A66="""", """", IFERROR( INDEX( FILTER( Data!$AA:$AA, Data!$C:$C=$A66, Data!$Q:$Q=$B66 ), 1 ), 0 ) )"),0.0)</f>
        <v>0</v>
      </c>
    </row>
    <row r="67">
      <c r="A67" s="18" t="str">
        <f>IFERROR(__xludf.DUMMYFUNCTION("""COMPUTED_VALUE"""),"Kevin Murphy")</f>
        <v>Kevin Murphy</v>
      </c>
      <c r="B67" s="14">
        <f>IFERROR(__xludf.DUMMYFUNCTION("""COMPUTED_VALUE"""),46052.0)</f>
        <v>46052</v>
      </c>
      <c r="C67" s="14">
        <f>IFERROR(__xludf.DUMMYFUNCTION("""COMPUTED_VALUE"""),46052.0)</f>
        <v>46052</v>
      </c>
      <c r="D67" s="18">
        <f>IFERROR(__xludf.DUMMYFUNCTION("IF( A67="""", """", IFERROR( INDEX( FILTER( Data!$AA:$AA, Data!$C:$C=$A67, Data!$Q:$Q=$B67 ), 1 ), 0 ) )"),0.0)</f>
        <v>0</v>
      </c>
    </row>
    <row r="68">
      <c r="A68" s="18" t="str">
        <f>IFERROR(__xludf.DUMMYFUNCTION("""COMPUTED_VALUE"""),"Daniel Kim")</f>
        <v>Daniel Kim</v>
      </c>
      <c r="B68" s="14">
        <f>IFERROR(__xludf.DUMMYFUNCTION("""COMPUTED_VALUE"""),46052.0)</f>
        <v>46052</v>
      </c>
      <c r="C68" s="14">
        <f>IFERROR(__xludf.DUMMYFUNCTION("""COMPUTED_VALUE"""),46052.0)</f>
        <v>46052</v>
      </c>
      <c r="D68" s="18">
        <f>IFERROR(__xludf.DUMMYFUNCTION("IF( A68="""", """", IFERROR( INDEX( FILTER( Data!$AA:$AA, Data!$C:$C=$A68, Data!$Q:$Q=$B68 ), 1 ), 0 ) )"),0.0)</f>
        <v>0</v>
      </c>
    </row>
    <row r="69">
      <c r="A69" s="18" t="str">
        <f>IFERROR(__xludf.DUMMYFUNCTION("""COMPUTED_VALUE"""),"Ethan Brooks")</f>
        <v>Ethan Brooks</v>
      </c>
      <c r="B69" s="14">
        <f>IFERROR(__xludf.DUMMYFUNCTION("""COMPUTED_VALUE"""),46052.0)</f>
        <v>46052</v>
      </c>
      <c r="C69" s="14">
        <f>IFERROR(__xludf.DUMMYFUNCTION("""COMPUTED_VALUE"""),46052.0)</f>
        <v>46052</v>
      </c>
      <c r="D69" s="18">
        <f>IFERROR(__xludf.DUMMYFUNCTION("IF( A69="""", """", IFERROR( INDEX( FILTER( Data!$AA:$AA, Data!$C:$C=$A69, Data!$Q:$Q=$B69 ), 1 ), 0 ) )"),0.0)</f>
        <v>0</v>
      </c>
    </row>
    <row r="70">
      <c r="A70" s="18" t="str">
        <f>IFERROR(__xludf.DUMMYFUNCTION("""COMPUTED_VALUE"""),"Anika Singh")</f>
        <v>Anika Singh</v>
      </c>
      <c r="B70" s="14">
        <f>IFERROR(__xludf.DUMMYFUNCTION("""COMPUTED_VALUE"""),46052.0)</f>
        <v>46052</v>
      </c>
      <c r="C70" s="14">
        <f>IFERROR(__xludf.DUMMYFUNCTION("""COMPUTED_VALUE"""),46052.0)</f>
        <v>46052</v>
      </c>
      <c r="D70" s="18">
        <f>IFERROR(__xludf.DUMMYFUNCTION("IF( A70="""", """", IFERROR( INDEX( FILTER( Data!$AA:$AA, Data!$C:$C=$A70, Data!$Q:$Q=$B70 ), 1 ), 0 ) )"),0.0)</f>
        <v>0</v>
      </c>
    </row>
    <row r="71">
      <c r="A71" s="18" t="str">
        <f>IFERROR(__xludf.DUMMYFUNCTION("""COMPUTED_VALUE"""),"Jacob Anderson")</f>
        <v>Jacob Anderson</v>
      </c>
      <c r="B71" s="14">
        <f>IFERROR(__xludf.DUMMYFUNCTION("""COMPUTED_VALUE"""),46052.0)</f>
        <v>46052</v>
      </c>
      <c r="C71" s="14">
        <f>IFERROR(__xludf.DUMMYFUNCTION("""COMPUTED_VALUE"""),46052.0)</f>
        <v>46052</v>
      </c>
      <c r="D71" s="18">
        <f>IFERROR(__xludf.DUMMYFUNCTION("IF( A71="""", """", IFERROR( INDEX( FILTER( Data!$AA:$AA, Data!$C:$C=$A71, Data!$Q:$Q=$B71 ), 1 ), 0 ) )"),0.0)</f>
        <v>0</v>
      </c>
    </row>
    <row r="72">
      <c r="A72" s="18" t="str">
        <f>IFERROR(__xludf.DUMMYFUNCTION("""COMPUTED_VALUE"""),"Rebecca Goldstein")</f>
        <v>Rebecca Goldstein</v>
      </c>
      <c r="B72" s="14">
        <f>IFERROR(__xludf.DUMMYFUNCTION("""COMPUTED_VALUE"""),46052.0)</f>
        <v>46052</v>
      </c>
      <c r="C72" s="14">
        <f>IFERROR(__xludf.DUMMYFUNCTION("""COMPUTED_VALUE"""),46052.0)</f>
        <v>46052</v>
      </c>
      <c r="D72" s="18">
        <f>IFERROR(__xludf.DUMMYFUNCTION("IF( A72="""", """", IFERROR( INDEX( FILTER( Data!$AA:$AA, Data!$C:$C=$A72, Data!$Q:$Q=$B72 ), 1 ), 0 ) )"),0.0)</f>
        <v>0</v>
      </c>
    </row>
    <row r="73">
      <c r="A73" s="18" t="str">
        <f>IFERROR(__xludf.DUMMYFUNCTION("""COMPUTED_VALUE"""),"Fatima Hassan")</f>
        <v>Fatima Hassan</v>
      </c>
      <c r="B73" s="14">
        <f>IFERROR(__xludf.DUMMYFUNCTION("""COMPUTED_VALUE"""),46052.0)</f>
        <v>46052</v>
      </c>
      <c r="C73" s="14">
        <f>IFERROR(__xludf.DUMMYFUNCTION("""COMPUTED_VALUE"""),46052.0)</f>
        <v>46052</v>
      </c>
      <c r="D73" s="18">
        <f>IFERROR(__xludf.DUMMYFUNCTION("IF( A73="""", """", IFERROR( INDEX( FILTER( Data!$AA:$AA, Data!$C:$C=$A73, Data!$Q:$Q=$B73 ), 1 ), 0 ) )"),0.0)</f>
        <v>0</v>
      </c>
    </row>
    <row r="74">
      <c r="A74" s="18" t="str">
        <f>IFERROR(__xludf.DUMMYFUNCTION("""COMPUTED_VALUE"""),"Nia Brown")</f>
        <v>Nia Brown</v>
      </c>
      <c r="B74" s="14">
        <f>IFERROR(__xludf.DUMMYFUNCTION("""COMPUTED_VALUE"""),46052.0)</f>
        <v>46052</v>
      </c>
      <c r="C74" s="14">
        <f>IFERROR(__xludf.DUMMYFUNCTION("""COMPUTED_VALUE"""),46052.0)</f>
        <v>46052</v>
      </c>
      <c r="D74" s="18">
        <f>IFERROR(__xludf.DUMMYFUNCTION("IF( A74="""", """", IFERROR( INDEX( FILTER( Data!$AA:$AA, Data!$C:$C=$A74, Data!$Q:$Q=$B74 ), 1 ), 0 ) )"),0.0)</f>
        <v>0</v>
      </c>
    </row>
    <row r="75">
      <c r="A75" s="18" t="str">
        <f>IFERROR(__xludf.DUMMYFUNCTION("""COMPUTED_VALUE"""),"Michael Sullivan")</f>
        <v>Michael Sullivan</v>
      </c>
      <c r="B75" s="14">
        <f>IFERROR(__xludf.DUMMYFUNCTION("""COMPUTED_VALUE"""),46052.0)</f>
        <v>46052</v>
      </c>
      <c r="C75" s="14">
        <f>IFERROR(__xludf.DUMMYFUNCTION("""COMPUTED_VALUE"""),46052.0)</f>
        <v>46052</v>
      </c>
      <c r="D75" s="18">
        <f>IFERROR(__xludf.DUMMYFUNCTION("IF( A75="""", """", IFERROR( INDEX( FILTER( Data!$AA:$AA, Data!$C:$C=$A75, Data!$Q:$Q=$B75 ), 1 ), 0 ) )"),0.0)</f>
        <v>0</v>
      </c>
    </row>
    <row r="76">
      <c r="A76" s="18" t="str">
        <f>IFERROR(__xludf.DUMMYFUNCTION("""COMPUTED_VALUE"""),"Yara Haddad")</f>
        <v>Yara Haddad</v>
      </c>
      <c r="B76" s="14">
        <f>IFERROR(__xludf.DUMMYFUNCTION("""COMPUTED_VALUE"""),46052.0)</f>
        <v>46052</v>
      </c>
      <c r="C76" s="14">
        <f>IFERROR(__xludf.DUMMYFUNCTION("""COMPUTED_VALUE"""),46052.0)</f>
        <v>46052</v>
      </c>
      <c r="D76" s="18">
        <f>IFERROR(__xludf.DUMMYFUNCTION("IF( A76="""", """", IFERROR( INDEX( FILTER( Data!$AA:$AA, Data!$C:$C=$A76, Data!$Q:$Q=$B76 ), 1 ), 0 ) )"),0.0)</f>
        <v>0</v>
      </c>
    </row>
    <row r="77">
      <c r="A77" s="18" t="str">
        <f>IFERROR(__xludf.DUMMYFUNCTION("""COMPUTED_VALUE"""),"José Alvarez")</f>
        <v>José Alvarez</v>
      </c>
      <c r="B77" s="14">
        <f>IFERROR(__xludf.DUMMYFUNCTION("""COMPUTED_VALUE"""),46052.0)</f>
        <v>46052</v>
      </c>
      <c r="C77" s="14">
        <f>IFERROR(__xludf.DUMMYFUNCTION("""COMPUTED_VALUE"""),46052.0)</f>
        <v>46052</v>
      </c>
      <c r="D77" s="18">
        <f>IFERROR(__xludf.DUMMYFUNCTION("IF( A77="""", """", IFERROR( INDEX( FILTER( Data!$AA:$AA, Data!$C:$C=$A77, Data!$Q:$Q=$B77 ), 1 ), 0 ) )"),0.0)</f>
        <v>0</v>
      </c>
    </row>
    <row r="78">
      <c r="A78" s="18" t="str">
        <f>IFERROR(__xludf.DUMMYFUNCTION("""COMPUTED_VALUE"""),"Brittany Scott")</f>
        <v>Brittany Scott</v>
      </c>
      <c r="B78" s="14">
        <f>IFERROR(__xludf.DUMMYFUNCTION("""COMPUTED_VALUE"""),46052.0)</f>
        <v>46052</v>
      </c>
      <c r="C78" s="14">
        <f>IFERROR(__xludf.DUMMYFUNCTION("""COMPUTED_VALUE"""),46052.0)</f>
        <v>46052</v>
      </c>
      <c r="D78" s="18">
        <f>IFERROR(__xludf.DUMMYFUNCTION("IF( A78="""", """", IFERROR( INDEX( FILTER( Data!$AA:$AA, Data!$C:$C=$A78, Data!$Q:$Q=$B78 ), 1 ), 0 ) )"),0.0)</f>
        <v>0</v>
      </c>
    </row>
    <row r="79">
      <c r="A79" s="18" t="str">
        <f>IFERROR(__xludf.DUMMYFUNCTION("""COMPUTED_VALUE"""),"Kofi Boateng")</f>
        <v>Kofi Boateng</v>
      </c>
      <c r="B79" s="14">
        <f>IFERROR(__xludf.DUMMYFUNCTION("""COMPUTED_VALUE"""),46052.0)</f>
        <v>46052</v>
      </c>
      <c r="C79" s="14">
        <f>IFERROR(__xludf.DUMMYFUNCTION("""COMPUTED_VALUE"""),46052.0)</f>
        <v>46052</v>
      </c>
      <c r="D79" s="18">
        <f>IFERROR(__xludf.DUMMYFUNCTION("IF( A79="""", """", IFERROR( INDEX( FILTER( Data!$AA:$AA, Data!$C:$C=$A79, Data!$Q:$Q=$B79 ), 1 ), 0 ) )"),0.0)</f>
        <v>0</v>
      </c>
    </row>
    <row r="80">
      <c r="A80" s="18" t="str">
        <f>IFERROR(__xludf.DUMMYFUNCTION("""COMPUTED_VALUE"""),"Julia Kowalski")</f>
        <v>Julia Kowalski</v>
      </c>
      <c r="B80" s="14">
        <f>IFERROR(__xludf.DUMMYFUNCTION("""COMPUTED_VALUE"""),46059.0)</f>
        <v>46059</v>
      </c>
      <c r="C80" s="14">
        <f>IFERROR(__xludf.DUMMYFUNCTION("""COMPUTED_VALUE"""),46066.0)</f>
        <v>46066</v>
      </c>
      <c r="D80" s="18">
        <f>IFERROR(__xludf.DUMMYFUNCTION("IF( A80="""", """", IFERROR( INDEX( FILTER( Data!$AA:$AA, Data!$C:$C=$A80, Data!$Q:$Q=$B80 ), 1 ), 0 ) )"),0.0)</f>
        <v>0</v>
      </c>
    </row>
    <row r="81">
      <c r="A81" s="18" t="str">
        <f>IFERROR(__xludf.DUMMYFUNCTION("""COMPUTED_VALUE"""),"Jordan Williams")</f>
        <v>Jordan Williams</v>
      </c>
      <c r="B81" s="14">
        <f>IFERROR(__xludf.DUMMYFUNCTION("""COMPUTED_VALUE"""),46059.0)</f>
        <v>46059</v>
      </c>
      <c r="C81" s="14">
        <f>IFERROR(__xludf.DUMMYFUNCTION("""COMPUTED_VALUE"""),46066.0)</f>
        <v>46066</v>
      </c>
      <c r="D81" s="18">
        <f>IFERROR(__xludf.DUMMYFUNCTION("IF( A81="""", """", IFERROR( INDEX( FILTER( Data!$AA:$AA, Data!$C:$C=$A81, Data!$Q:$Q=$B81 ), 1 ), 0 ) )"),0.0)</f>
        <v>0</v>
      </c>
    </row>
    <row r="82">
      <c r="A82" s="18" t="str">
        <f>IFERROR(__xludf.DUMMYFUNCTION("""COMPUTED_VALUE"""),"Fatima Hassan")</f>
        <v>Fatima Hassan</v>
      </c>
      <c r="B82" s="14">
        <f>IFERROR(__xludf.DUMMYFUNCTION("""COMPUTED_VALUE"""),46059.0)</f>
        <v>46059</v>
      </c>
      <c r="C82" s="14">
        <f>IFERROR(__xludf.DUMMYFUNCTION("""COMPUTED_VALUE"""),46066.0)</f>
        <v>46066</v>
      </c>
      <c r="D82" s="18">
        <f>IFERROR(__xludf.DUMMYFUNCTION("IF( A82="""", """", IFERROR( INDEX( FILTER( Data!$AA:$AA, Data!$C:$C=$A82, Data!$Q:$Q=$B82 ), 1 ), 0 ) )"),0.0)</f>
        <v>0</v>
      </c>
    </row>
    <row r="83">
      <c r="A83" s="18" t="str">
        <f>IFERROR(__xludf.DUMMYFUNCTION("""COMPUTED_VALUE"""),"Ethan Brooks")</f>
        <v>Ethan Brooks</v>
      </c>
      <c r="B83" s="14">
        <f>IFERROR(__xludf.DUMMYFUNCTION("""COMPUTED_VALUE"""),46059.0)</f>
        <v>46059</v>
      </c>
      <c r="C83" s="14">
        <f>IFERROR(__xludf.DUMMYFUNCTION("""COMPUTED_VALUE"""),46066.0)</f>
        <v>46066</v>
      </c>
      <c r="D83" s="18">
        <f>IFERROR(__xludf.DUMMYFUNCTION("IF( A83="""", """", IFERROR( INDEX( FILTER( Data!$AA:$AA, Data!$C:$C=$A83, Data!$Q:$Q=$B83 ), 1 ), 0 ) )"),0.0)</f>
        <v>0</v>
      </c>
    </row>
    <row r="84">
      <c r="A84" s="18" t="str">
        <f>IFERROR(__xludf.DUMMYFUNCTION("""COMPUTED_VALUE"""),"Kevin Murphy")</f>
        <v>Kevin Murphy</v>
      </c>
      <c r="B84" s="14">
        <f>IFERROR(__xludf.DUMMYFUNCTION("""COMPUTED_VALUE"""),46059.0)</f>
        <v>46059</v>
      </c>
      <c r="C84" s="14">
        <f>IFERROR(__xludf.DUMMYFUNCTION("""COMPUTED_VALUE"""),46066.0)</f>
        <v>46066</v>
      </c>
      <c r="D84" s="18">
        <f>IFERROR(__xludf.DUMMYFUNCTION("IF( A84="""", """", IFERROR( INDEX( FILTER( Data!$AA:$AA, Data!$C:$C=$A84, Data!$Q:$Q=$B84 ), 1 ), 0 ) )"),0.0)</f>
        <v>0</v>
      </c>
    </row>
    <row r="85">
      <c r="A85" s="18" t="str">
        <f>IFERROR(__xludf.DUMMYFUNCTION("""COMPUTED_VALUE"""),"Grace Nguyen")</f>
        <v>Grace Nguyen</v>
      </c>
      <c r="B85" s="14">
        <f>IFERROR(__xludf.DUMMYFUNCTION("""COMPUTED_VALUE"""),46059.0)</f>
        <v>46059</v>
      </c>
      <c r="C85" s="14">
        <f>IFERROR(__xludf.DUMMYFUNCTION("""COMPUTED_VALUE"""),46066.0)</f>
        <v>46066</v>
      </c>
      <c r="D85" s="18">
        <f>IFERROR(__xludf.DUMMYFUNCTION("IF( A85="""", """", IFERROR( INDEX( FILTER( Data!$AA:$AA, Data!$C:$C=$A85, Data!$Q:$Q=$B85 ), 1 ), 0 ) )"),0.0)</f>
        <v>0</v>
      </c>
    </row>
    <row r="86">
      <c r="A86" s="18" t="str">
        <f>IFERROR(__xludf.DUMMYFUNCTION("""COMPUTED_VALUE"""),"Ava Reynolds")</f>
        <v>Ava Reynolds</v>
      </c>
      <c r="B86" s="14">
        <f>IFERROR(__xludf.DUMMYFUNCTION("""COMPUTED_VALUE"""),46059.0)</f>
        <v>46059</v>
      </c>
      <c r="C86" s="14">
        <f>IFERROR(__xludf.DUMMYFUNCTION("""COMPUTED_VALUE"""),46066.0)</f>
        <v>46066</v>
      </c>
      <c r="D86" s="18">
        <f>IFERROR(__xludf.DUMMYFUNCTION("IF( A86="""", """", IFERROR( INDEX( FILTER( Data!$AA:$AA, Data!$C:$C=$A86, Data!$Q:$Q=$B86 ), 1 ), 0 ) )"),0.0)</f>
        <v>0</v>
      </c>
    </row>
    <row r="87">
      <c r="A87" s="18" t="str">
        <f>IFERROR(__xludf.DUMMYFUNCTION("""COMPUTED_VALUE"""),"Aisha Johnson")</f>
        <v>Aisha Johnson</v>
      </c>
      <c r="B87" s="14">
        <f>IFERROR(__xludf.DUMMYFUNCTION("""COMPUTED_VALUE"""),46059.0)</f>
        <v>46059</v>
      </c>
      <c r="C87" s="14">
        <f>IFERROR(__xludf.DUMMYFUNCTION("""COMPUTED_VALUE"""),46066.0)</f>
        <v>46066</v>
      </c>
      <c r="D87" s="18">
        <f>IFERROR(__xludf.DUMMYFUNCTION("IF( A87="""", """", IFERROR( INDEX( FILTER( Data!$AA:$AA, Data!$C:$C=$A87, Data!$Q:$Q=$B87 ), 1 ), 0 ) )"),0.0)</f>
        <v>0</v>
      </c>
    </row>
    <row r="88">
      <c r="A88" s="18" t="str">
        <f>IFERROR(__xludf.DUMMYFUNCTION("""COMPUTED_VALUE"""),"Denis Petrov")</f>
        <v>Denis Petrov</v>
      </c>
      <c r="B88" s="14">
        <f>IFERROR(__xludf.DUMMYFUNCTION("""COMPUTED_VALUE"""),46059.0)</f>
        <v>46059</v>
      </c>
      <c r="C88" s="14">
        <f>IFERROR(__xludf.DUMMYFUNCTION("""COMPUTED_VALUE"""),46066.0)</f>
        <v>46066</v>
      </c>
      <c r="D88" s="18">
        <f>IFERROR(__xludf.DUMMYFUNCTION("IF( A88="""", """", IFERROR( INDEX( FILTER( Data!$AA:$AA, Data!$C:$C=$A88, Data!$Q:$Q=$B88 ), 1 ), 0 ) )"),0.0)</f>
        <v>0</v>
      </c>
    </row>
    <row r="89">
      <c r="A89" s="18" t="str">
        <f>IFERROR(__xludf.DUMMYFUNCTION("""COMPUTED_VALUE"""),"Emily Chen")</f>
        <v>Emily Chen</v>
      </c>
      <c r="B89" s="14">
        <f>IFERROR(__xludf.DUMMYFUNCTION("""COMPUTED_VALUE"""),46059.0)</f>
        <v>46059</v>
      </c>
      <c r="C89" s="14">
        <f>IFERROR(__xludf.DUMMYFUNCTION("""COMPUTED_VALUE"""),46066.0)</f>
        <v>46066</v>
      </c>
      <c r="D89" s="18">
        <f>IFERROR(__xludf.DUMMYFUNCTION("IF( A89="""", """", IFERROR( INDEX( FILTER( Data!$AA:$AA, Data!$C:$C=$A89, Data!$Q:$Q=$B89 ), 1 ), 0 ) )"),0.0)</f>
        <v>0</v>
      </c>
    </row>
    <row r="90">
      <c r="A90" s="18" t="str">
        <f>IFERROR(__xludf.DUMMYFUNCTION("""COMPUTED_VALUE"""),"Sienna Russo")</f>
        <v>Sienna Russo</v>
      </c>
      <c r="B90" s="14">
        <f>IFERROR(__xludf.DUMMYFUNCTION("""COMPUTED_VALUE"""),46059.0)</f>
        <v>46059</v>
      </c>
      <c r="C90" s="14">
        <f>IFERROR(__xludf.DUMMYFUNCTION("""COMPUTED_VALUE"""),46066.0)</f>
        <v>46066</v>
      </c>
      <c r="D90" s="18">
        <f>IFERROR(__xludf.DUMMYFUNCTION("IF( A90="""", """", IFERROR( INDEX( FILTER( Data!$AA:$AA, Data!$C:$C=$A90, Data!$Q:$Q=$B90 ), 1 ), 0 ) )"),0.0)</f>
        <v>0</v>
      </c>
    </row>
    <row r="91">
      <c r="A91" s="18" t="str">
        <f>IFERROR(__xludf.DUMMYFUNCTION("""COMPUTED_VALUE"""),"Tariq Khan")</f>
        <v>Tariq Khan</v>
      </c>
      <c r="B91" s="14">
        <f>IFERROR(__xludf.DUMMYFUNCTION("""COMPUTED_VALUE"""),46059.0)</f>
        <v>46059</v>
      </c>
      <c r="C91" s="14">
        <f>IFERROR(__xludf.DUMMYFUNCTION("""COMPUTED_VALUE"""),46066.0)</f>
        <v>46066</v>
      </c>
      <c r="D91" s="18">
        <f>IFERROR(__xludf.DUMMYFUNCTION("IF( A91="""", """", IFERROR( INDEX( FILTER( Data!$AA:$AA, Data!$C:$C=$A91, Data!$Q:$Q=$B91 ), 1 ), 0 ) )"),0.0)</f>
        <v>0</v>
      </c>
    </row>
    <row r="92">
      <c r="A92" s="18" t="str">
        <f>IFERROR(__xludf.DUMMYFUNCTION("""COMPUTED_VALUE"""),"Jamal Washington")</f>
        <v>Jamal Washington</v>
      </c>
      <c r="B92" s="14">
        <f>IFERROR(__xludf.DUMMYFUNCTION("""COMPUTED_VALUE"""),46059.0)</f>
        <v>46059</v>
      </c>
      <c r="C92" s="14">
        <f>IFERROR(__xludf.DUMMYFUNCTION("""COMPUTED_VALUE"""),46066.0)</f>
        <v>46066</v>
      </c>
      <c r="D92" s="18">
        <f>IFERROR(__xludf.DUMMYFUNCTION("IF( A92="""", """", IFERROR( INDEX( FILTER( Data!$AA:$AA, Data!$C:$C=$A92, Data!$Q:$Q=$B92 ), 1 ), 0 ) )"),0.0)</f>
        <v>0</v>
      </c>
    </row>
    <row r="93">
      <c r="A93" s="18" t="str">
        <f>IFERROR(__xludf.DUMMYFUNCTION("""COMPUTED_VALUE"""),"Brooke Foster")</f>
        <v>Brooke Foster</v>
      </c>
      <c r="B93" s="14">
        <f>IFERROR(__xludf.DUMMYFUNCTION("""COMPUTED_VALUE"""),46059.0)</f>
        <v>46059</v>
      </c>
      <c r="C93" s="14">
        <f>IFERROR(__xludf.DUMMYFUNCTION("""COMPUTED_VALUE"""),46066.0)</f>
        <v>46066</v>
      </c>
      <c r="D93" s="18">
        <f>IFERROR(__xludf.DUMMYFUNCTION("IF( A93="""", """", IFERROR( INDEX( FILTER( Data!$AA:$AA, Data!$C:$C=$A93, Data!$Q:$Q=$B93 ), 1 ), 0 ) )"),0.0)</f>
        <v>0</v>
      </c>
    </row>
    <row r="94">
      <c r="A94" s="18" t="str">
        <f>IFERROR(__xludf.DUMMYFUNCTION("""COMPUTED_VALUE"""),"Marcus Thompson")</f>
        <v>Marcus Thompson</v>
      </c>
      <c r="B94" s="14">
        <f>IFERROR(__xludf.DUMMYFUNCTION("""COMPUTED_VALUE"""),46059.0)</f>
        <v>46059</v>
      </c>
      <c r="C94" s="14">
        <f>IFERROR(__xludf.DUMMYFUNCTION("""COMPUTED_VALUE"""),46066.0)</f>
        <v>46066</v>
      </c>
      <c r="D94" s="18">
        <f>IFERROR(__xludf.DUMMYFUNCTION("IF( A94="""", """", IFERROR( INDEX( FILTER( Data!$AA:$AA, Data!$C:$C=$A94, Data!$Q:$Q=$B94 ), 1 ), 0 ) )"),0.0)</f>
        <v>0</v>
      </c>
    </row>
    <row r="95">
      <c r="A95" s="18" t="str">
        <f>IFERROR(__xludf.DUMMYFUNCTION("""COMPUTED_VALUE"""),"David Okafor")</f>
        <v>David Okafor</v>
      </c>
      <c r="B95" s="14">
        <f>IFERROR(__xludf.DUMMYFUNCTION("""COMPUTED_VALUE"""),46059.0)</f>
        <v>46059</v>
      </c>
      <c r="C95" s="14">
        <f>IFERROR(__xludf.DUMMYFUNCTION("""COMPUTED_VALUE"""),46066.0)</f>
        <v>46066</v>
      </c>
      <c r="D95" s="18">
        <f>IFERROR(__xludf.DUMMYFUNCTION("IF( A95="""", """", IFERROR( INDEX( FILTER( Data!$AA:$AA, Data!$C:$C=$A95, Data!$Q:$Q=$B95 ), 1 ), 0 ) )"),0.0)</f>
        <v>0</v>
      </c>
    </row>
    <row r="96">
      <c r="A96" s="18" t="str">
        <f>IFERROR(__xludf.DUMMYFUNCTION("""COMPUTED_VALUE"""),"Maya Patel")</f>
        <v>Maya Patel</v>
      </c>
      <c r="B96" s="14">
        <f>IFERROR(__xludf.DUMMYFUNCTION("""COMPUTED_VALUE"""),46059.0)</f>
        <v>46059</v>
      </c>
      <c r="C96" s="14">
        <f>IFERROR(__xludf.DUMMYFUNCTION("""COMPUTED_VALUE"""),46066.0)</f>
        <v>46066</v>
      </c>
      <c r="D96" s="18">
        <f>IFERROR(__xludf.DUMMYFUNCTION("IF( A96="""", """", IFERROR( INDEX( FILTER( Data!$AA:$AA, Data!$C:$C=$A96, Data!$Q:$Q=$B96 ), 1 ), 0 ) )"),0.0)</f>
        <v>0</v>
      </c>
    </row>
    <row r="97">
      <c r="A97" s="18" t="str">
        <f>IFERROR(__xludf.DUMMYFUNCTION("""COMPUTED_VALUE"""),"Haruto Tanaka")</f>
        <v>Haruto Tanaka</v>
      </c>
      <c r="B97" s="14">
        <f>IFERROR(__xludf.DUMMYFUNCTION("""COMPUTED_VALUE"""),46059.0)</f>
        <v>46059</v>
      </c>
      <c r="C97" s="14">
        <f>IFERROR(__xludf.DUMMYFUNCTION("""COMPUTED_VALUE"""),46066.0)</f>
        <v>46066</v>
      </c>
      <c r="D97" s="18">
        <f>IFERROR(__xludf.DUMMYFUNCTION("IF( A97="""", """", IFERROR( INDEX( FILTER( Data!$AA:$AA, Data!$C:$C=$A97, Data!$Q:$Q=$B97 ), 1 ), 0 ) )"),0.0)</f>
        <v>0</v>
      </c>
    </row>
    <row r="98">
      <c r="A98" s="18" t="str">
        <f>IFERROR(__xludf.DUMMYFUNCTION("""COMPUTED_VALUE"""),"Nia Brown")</f>
        <v>Nia Brown</v>
      </c>
      <c r="B98" s="14">
        <f>IFERROR(__xludf.DUMMYFUNCTION("""COMPUTED_VALUE"""),46059.0)</f>
        <v>46059</v>
      </c>
      <c r="C98" s="14">
        <f>IFERROR(__xludf.DUMMYFUNCTION("""COMPUTED_VALUE"""),46066.0)</f>
        <v>46066</v>
      </c>
      <c r="D98" s="18">
        <f>IFERROR(__xludf.DUMMYFUNCTION("IF( A98="""", """", IFERROR( INDEX( FILTER( Data!$AA:$AA, Data!$C:$C=$A98, Data!$Q:$Q=$B98 ), 1 ), 0 ) )"),0.0)</f>
        <v>0</v>
      </c>
    </row>
    <row r="99">
      <c r="A99" s="18" t="str">
        <f>IFERROR(__xludf.DUMMYFUNCTION("""COMPUTED_VALUE"""),"Jacob Anderson")</f>
        <v>Jacob Anderson</v>
      </c>
      <c r="B99" s="14">
        <f>IFERROR(__xludf.DUMMYFUNCTION("""COMPUTED_VALUE"""),46059.0)</f>
        <v>46059</v>
      </c>
      <c r="C99" s="14">
        <f>IFERROR(__xludf.DUMMYFUNCTION("""COMPUTED_VALUE"""),46066.0)</f>
        <v>46066</v>
      </c>
      <c r="D99" s="18">
        <f>IFERROR(__xludf.DUMMYFUNCTION("IF( A99="""", """", IFERROR( INDEX( FILTER( Data!$AA:$AA, Data!$C:$C=$A99, Data!$Q:$Q=$B99 ), 1 ), 0 ) )"),0.0)</f>
        <v>0</v>
      </c>
    </row>
    <row r="100">
      <c r="A100" s="18" t="str">
        <f>IFERROR(__xludf.DUMMYFUNCTION("""COMPUTED_VALUE"""),"Zainab Ali")</f>
        <v>Zainab Ali</v>
      </c>
      <c r="B100" s="14">
        <f>IFERROR(__xludf.DUMMYFUNCTION("""COMPUTED_VALUE"""),46059.0)</f>
        <v>46059</v>
      </c>
      <c r="C100" s="14">
        <f>IFERROR(__xludf.DUMMYFUNCTION("""COMPUTED_VALUE"""),46066.0)</f>
        <v>46066</v>
      </c>
      <c r="D100" s="18">
        <f>IFERROR(__xludf.DUMMYFUNCTION("IF( A100="""", """", IFERROR( INDEX( FILTER( Data!$AA:$AA, Data!$C:$C=$A100, Data!$Q:$Q=$B100 ), 1 ), 0 ) )"),0.0)</f>
        <v>0</v>
      </c>
    </row>
    <row r="105">
      <c r="A105" s="10" t="s">
        <v>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9.63"/>
    <col customWidth="1" min="3" max="3" width="28.25"/>
    <col customWidth="1" min="4" max="4" width="12.38"/>
    <col customWidth="1" min="5" max="5" width="8.25"/>
  </cols>
  <sheetData>
    <row r="1">
      <c r="A1" s="20" t="s">
        <v>8</v>
      </c>
      <c r="B1" s="20" t="s">
        <v>3</v>
      </c>
      <c r="C1" s="22" t="s">
        <v>96</v>
      </c>
      <c r="D1" s="20" t="s">
        <v>33</v>
      </c>
      <c r="E1" s="20" t="s">
        <v>34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8" t="str">
        <f>IFERROR(__xludf.DUMMYFUNCTION("UNIQUE( FILTER( { Data!$C$2:$C1000, Data!$Y$2:$Y1000 }, LEN(Data!$C$2:$C1000) ) )"),"Maya Patel")</f>
        <v>Maya Patel</v>
      </c>
      <c r="B2" s="14">
        <f>IFERROR(__xludf.DUMMYFUNCTION("""COMPUTED_VALUE"""),46038.0)</f>
        <v>46038</v>
      </c>
      <c r="C2" s="24">
        <f>IF($A2="", "",  SUMIFS( Data!$T:$T, Data!$C:$C, $A2, Data!$Y:$Y, $B2 ) + SUMIFS( Data!$X:$X, Data!$C:$C, $A2, Data!$Y:$Y, $B2 ) )</f>
        <v>520.4</v>
      </c>
      <c r="D2" s="18">
        <f>IF($A2="", "", SUMIFS( Weekly_Bonus_By_Person!$D:$D, Weekly_Bonus_By_Person!$A:$A, $A2, Weekly_Bonus_By_Person!$C:$C, $B2 ) )</f>
        <v>0</v>
      </c>
      <c r="E2" s="24">
        <f t="shared" ref="E2:E81" si="1">IF($A2="", "", C2 + D2)</f>
        <v>520.4</v>
      </c>
    </row>
    <row r="3">
      <c r="A3" s="18" t="str">
        <f>IFERROR(__xludf.DUMMYFUNCTION("""COMPUTED_VALUE"""),"Jordan Williams")</f>
        <v>Jordan Williams</v>
      </c>
      <c r="B3" s="14">
        <f>IFERROR(__xludf.DUMMYFUNCTION("""COMPUTED_VALUE"""),46038.0)</f>
        <v>46038</v>
      </c>
      <c r="C3" s="24">
        <f>IF($A3="", "",  SUMIFS( Data!$T:$T, Data!$C:$C, $A3, Data!$Y:$Y, $B3 ) + SUMIFS( Data!$X:$X, Data!$C:$C, $A3, Data!$Y:$Y, $B3 ) )</f>
        <v>464</v>
      </c>
      <c r="D3" s="18">
        <f>IF($A3="", "", SUMIFS( Weekly_Bonus_By_Person!$D:$D, Weekly_Bonus_By_Person!$A:$A, $A3, Weekly_Bonus_By_Person!$C:$C, $B3 ) )</f>
        <v>0</v>
      </c>
      <c r="E3" s="24">
        <f t="shared" si="1"/>
        <v>464</v>
      </c>
    </row>
    <row r="4">
      <c r="A4" s="18" t="str">
        <f>IFERROR(__xludf.DUMMYFUNCTION("""COMPUTED_VALUE"""),"Carlos Ramirez")</f>
        <v>Carlos Ramirez</v>
      </c>
      <c r="B4" s="14">
        <f>IFERROR(__xludf.DUMMYFUNCTION("""COMPUTED_VALUE"""),46038.0)</f>
        <v>46038</v>
      </c>
      <c r="C4" s="24">
        <f>IF($A4="", "",  SUMIFS( Data!$T:$T, Data!$C:$C, $A4, Data!$Y:$Y, $B4 ) + SUMIFS( Data!$X:$X, Data!$C:$C, $A4, Data!$Y:$Y, $B4 ) )</f>
        <v>457.9333333</v>
      </c>
      <c r="D4" s="18">
        <f>IF($A4="", "", SUMIFS( Weekly_Bonus_By_Person!$D:$D, Weekly_Bonus_By_Person!$A:$A, $A4, Weekly_Bonus_By_Person!$C:$C, $B4 ) )</f>
        <v>0</v>
      </c>
      <c r="E4" s="24">
        <f t="shared" si="1"/>
        <v>457.9333333</v>
      </c>
    </row>
    <row r="5">
      <c r="A5" s="18" t="str">
        <f>IFERROR(__xludf.DUMMYFUNCTION("""COMPUTED_VALUE"""),"Emily Chen")</f>
        <v>Emily Chen</v>
      </c>
      <c r="B5" s="14">
        <f>IFERROR(__xludf.DUMMYFUNCTION("""COMPUTED_VALUE"""),46038.0)</f>
        <v>46038</v>
      </c>
      <c r="C5" s="24">
        <f>IF($A5="", "",  SUMIFS( Data!$T:$T, Data!$C:$C, $A5, Data!$Y:$Y, $B5 ) + SUMIFS( Data!$X:$X, Data!$C:$C, $A5, Data!$Y:$Y, $B5 ) )</f>
        <v>194</v>
      </c>
      <c r="D5" s="18">
        <f>IF($A5="", "", SUMIFS( Weekly_Bonus_By_Person!$D:$D, Weekly_Bonus_By_Person!$A:$A, $A5, Weekly_Bonus_By_Person!$C:$C, $B5 ) )</f>
        <v>0</v>
      </c>
      <c r="E5" s="24">
        <f t="shared" si="1"/>
        <v>194</v>
      </c>
    </row>
    <row r="6">
      <c r="A6" s="18" t="str">
        <f>IFERROR(__xludf.DUMMYFUNCTION("""COMPUTED_VALUE"""),"Aisha Johnson")</f>
        <v>Aisha Johnson</v>
      </c>
      <c r="B6" s="14">
        <f>IFERROR(__xludf.DUMMYFUNCTION("""COMPUTED_VALUE"""),46038.0)</f>
        <v>46038</v>
      </c>
      <c r="C6" s="24">
        <f>IF($A6="", "",  SUMIFS( Data!$T:$T, Data!$C:$C, $A6, Data!$Y:$Y, $B6 ) + SUMIFS( Data!$X:$X, Data!$C:$C, $A6, Data!$Y:$Y, $B6 ) )</f>
        <v>501.8</v>
      </c>
      <c r="D6" s="18">
        <f>IF($A6="", "", SUMIFS( Weekly_Bonus_By_Person!$D:$D, Weekly_Bonus_By_Person!$A:$A, $A6, Weekly_Bonus_By_Person!$C:$C, $B6 ) )</f>
        <v>0</v>
      </c>
      <c r="E6" s="24">
        <f t="shared" si="1"/>
        <v>501.8</v>
      </c>
    </row>
    <row r="7">
      <c r="A7" s="18" t="str">
        <f>IFERROR(__xludf.DUMMYFUNCTION("""COMPUTED_VALUE"""),"Daniel Kim")</f>
        <v>Daniel Kim</v>
      </c>
      <c r="B7" s="14">
        <f>IFERROR(__xludf.DUMMYFUNCTION("""COMPUTED_VALUE"""),46038.0)</f>
        <v>46038</v>
      </c>
      <c r="C7" s="24">
        <f>IF($A7="", "",  SUMIFS( Data!$T:$T, Data!$C:$C, $A7, Data!$Y:$Y, $B7 ) + SUMIFS( Data!$X:$X, Data!$C:$C, $A7, Data!$Y:$Y, $B7 ) )</f>
        <v>296.8333333</v>
      </c>
      <c r="D7" s="18">
        <f>IF($A7="", "", SUMIFS( Weekly_Bonus_By_Person!$D:$D, Weekly_Bonus_By_Person!$A:$A, $A7, Weekly_Bonus_By_Person!$C:$C, $B7 ) )</f>
        <v>0</v>
      </c>
      <c r="E7" s="24">
        <f t="shared" si="1"/>
        <v>296.8333333</v>
      </c>
    </row>
    <row r="8">
      <c r="A8" s="18" t="str">
        <f>IFERROR(__xludf.DUMMYFUNCTION("""COMPUTED_VALUE"""),"Sofia Martinez")</f>
        <v>Sofia Martinez</v>
      </c>
      <c r="B8" s="14">
        <f>IFERROR(__xludf.DUMMYFUNCTION("""COMPUTED_VALUE"""),46038.0)</f>
        <v>46038</v>
      </c>
      <c r="C8" s="24">
        <f>IF($A8="", "",  SUMIFS( Data!$T:$T, Data!$C:$C, $A8, Data!$Y:$Y, $B8 ) + SUMIFS( Data!$X:$X, Data!$C:$C, $A8, Data!$Y:$Y, $B8 ) )</f>
        <v>435.2</v>
      </c>
      <c r="D8" s="18">
        <f>IF($A8="", "", SUMIFS( Weekly_Bonus_By_Person!$D:$D, Weekly_Bonus_By_Person!$A:$A, $A8, Weekly_Bonus_By_Person!$C:$C, $B8 ) )</f>
        <v>0</v>
      </c>
      <c r="E8" s="24">
        <f t="shared" si="1"/>
        <v>435.2</v>
      </c>
    </row>
    <row r="9">
      <c r="A9" s="18" t="str">
        <f>IFERROR(__xludf.DUMMYFUNCTION("""COMPUTED_VALUE"""),"Marcus Thompson")</f>
        <v>Marcus Thompson</v>
      </c>
      <c r="B9" s="14">
        <f>IFERROR(__xludf.DUMMYFUNCTION("""COMPUTED_VALUE"""),46038.0)</f>
        <v>46038</v>
      </c>
      <c r="C9" s="24">
        <f>IF($A9="", "",  SUMIFS( Data!$T:$T, Data!$C:$C, $A9, Data!$Y:$Y, $B9 ) + SUMIFS( Data!$X:$X, Data!$C:$C, $A9, Data!$Y:$Y, $B9 ) )</f>
        <v>206</v>
      </c>
      <c r="D9" s="18">
        <f>IF($A9="", "", SUMIFS( Weekly_Bonus_By_Person!$D:$D, Weekly_Bonus_By_Person!$A:$A, $A9, Weekly_Bonus_By_Person!$C:$C, $B9 ) )</f>
        <v>0</v>
      </c>
      <c r="E9" s="24">
        <f t="shared" si="1"/>
        <v>206</v>
      </c>
    </row>
    <row r="10">
      <c r="A10" s="18" t="str">
        <f>IFERROR(__xludf.DUMMYFUNCTION("""COMPUTED_VALUE"""),"Priya Nair")</f>
        <v>Priya Nair</v>
      </c>
      <c r="B10" s="14">
        <f>IFERROR(__xludf.DUMMYFUNCTION("""COMPUTED_VALUE"""),46038.0)</f>
        <v>46038</v>
      </c>
      <c r="C10" s="24">
        <f>IF($A10="", "",  SUMIFS( Data!$T:$T, Data!$C:$C, $A10, Data!$Y:$Y, $B10 ) + SUMIFS( Data!$X:$X, Data!$C:$C, $A10, Data!$Y:$Y, $B10 ) )</f>
        <v>380</v>
      </c>
      <c r="D10" s="18">
        <f>IF($A10="", "", SUMIFS( Weekly_Bonus_By_Person!$D:$D, Weekly_Bonus_By_Person!$A:$A, $A10, Weekly_Bonus_By_Person!$C:$C, $B10 ) )</f>
        <v>0</v>
      </c>
      <c r="E10" s="24">
        <f t="shared" si="1"/>
        <v>380</v>
      </c>
    </row>
    <row r="11">
      <c r="A11" s="18" t="str">
        <f>IFERROR(__xludf.DUMMYFUNCTION("""COMPUTED_VALUE"""),"Ethan Brooks")</f>
        <v>Ethan Brooks</v>
      </c>
      <c r="B11" s="14">
        <f>IFERROR(__xludf.DUMMYFUNCTION("""COMPUTED_VALUE"""),46038.0)</f>
        <v>46038</v>
      </c>
      <c r="C11" s="24">
        <f>IF($A11="", "",  SUMIFS( Data!$T:$T, Data!$C:$C, $A11, Data!$Y:$Y, $B11 ) + SUMIFS( Data!$X:$X, Data!$C:$C, $A11, Data!$Y:$Y, $B11 ) )</f>
        <v>262</v>
      </c>
      <c r="D11" s="18">
        <f>IF($A11="", "", SUMIFS( Weekly_Bonus_By_Person!$D:$D, Weekly_Bonus_By_Person!$A:$A, $A11, Weekly_Bonus_By_Person!$C:$C, $B11 ) )</f>
        <v>0</v>
      </c>
      <c r="E11" s="24">
        <f t="shared" si="1"/>
        <v>262</v>
      </c>
    </row>
    <row r="12">
      <c r="A12" s="18" t="str">
        <f>IFERROR(__xludf.DUMMYFUNCTION("""COMPUTED_VALUE"""),"Fatima Hassan")</f>
        <v>Fatima Hassan</v>
      </c>
      <c r="B12" s="14">
        <f>IFERROR(__xludf.DUMMYFUNCTION("""COMPUTED_VALUE"""),46038.0)</f>
        <v>46038</v>
      </c>
      <c r="C12" s="24">
        <f>IF($A12="", "",  SUMIFS( Data!$T:$T, Data!$C:$C, $A12, Data!$Y:$Y, $B12 ) + SUMIFS( Data!$X:$X, Data!$C:$C, $A12, Data!$Y:$Y, $B12 ) )</f>
        <v>224</v>
      </c>
      <c r="D12" s="18">
        <f>IF($A12="", "", SUMIFS( Weekly_Bonus_By_Person!$D:$D, Weekly_Bonus_By_Person!$A:$A, $A12, Weekly_Bonus_By_Person!$C:$C, $B12 ) )</f>
        <v>0</v>
      </c>
      <c r="E12" s="24">
        <f t="shared" si="1"/>
        <v>224</v>
      </c>
    </row>
    <row r="13">
      <c r="A13" s="18" t="str">
        <f>IFERROR(__xludf.DUMMYFUNCTION("""COMPUTED_VALUE"""),"Noah Levine")</f>
        <v>Noah Levine</v>
      </c>
      <c r="B13" s="14">
        <f>IFERROR(__xludf.DUMMYFUNCTION("""COMPUTED_VALUE"""),46038.0)</f>
        <v>46038</v>
      </c>
      <c r="C13" s="24">
        <f>IF($A13="", "",  SUMIFS( Data!$T:$T, Data!$C:$C, $A13, Data!$Y:$Y, $B13 ) + SUMIFS( Data!$X:$X, Data!$C:$C, $A13, Data!$Y:$Y, $B13 ) )</f>
        <v>210.4</v>
      </c>
      <c r="D13" s="18">
        <f>IF($A13="", "", SUMIFS( Weekly_Bonus_By_Person!$D:$D, Weekly_Bonus_By_Person!$A:$A, $A13, Weekly_Bonus_By_Person!$C:$C, $B13 ) )</f>
        <v>0</v>
      </c>
      <c r="E13" s="24">
        <f t="shared" si="1"/>
        <v>210.4</v>
      </c>
    </row>
    <row r="14">
      <c r="A14" s="18" t="str">
        <f>IFERROR(__xludf.DUMMYFUNCTION("""COMPUTED_VALUE"""),"Grace Nguyen")</f>
        <v>Grace Nguyen</v>
      </c>
      <c r="B14" s="14">
        <f>IFERROR(__xludf.DUMMYFUNCTION("""COMPUTED_VALUE"""),46038.0)</f>
        <v>46038</v>
      </c>
      <c r="C14" s="24">
        <f>IF($A14="", "",  SUMIFS( Data!$T:$T, Data!$C:$C, $A14, Data!$Y:$Y, $B14 ) + SUMIFS( Data!$X:$X, Data!$C:$C, $A14, Data!$Y:$Y, $B14 ) )</f>
        <v>221</v>
      </c>
      <c r="D14" s="18">
        <f>IF($A14="", "", SUMIFS( Weekly_Bonus_By_Person!$D:$D, Weekly_Bonus_By_Person!$A:$A, $A14, Weekly_Bonus_By_Person!$C:$C, $B14 ) )</f>
        <v>0</v>
      </c>
      <c r="E14" s="24">
        <f t="shared" si="1"/>
        <v>221</v>
      </c>
    </row>
    <row r="15">
      <c r="A15" s="18" t="str">
        <f>IFERROR(__xludf.DUMMYFUNCTION("""COMPUTED_VALUE"""),"Alejandro Cruz")</f>
        <v>Alejandro Cruz</v>
      </c>
      <c r="B15" s="14">
        <f>IFERROR(__xludf.DUMMYFUNCTION("""COMPUTED_VALUE"""),46038.0)</f>
        <v>46038</v>
      </c>
      <c r="C15" s="24">
        <f>IF($A15="", "",  SUMIFS( Data!$T:$T, Data!$C:$C, $A15, Data!$Y:$Y, $B15 ) + SUMIFS( Data!$X:$X, Data!$C:$C, $A15, Data!$Y:$Y, $B15 ) )</f>
        <v>213.2</v>
      </c>
      <c r="D15" s="18">
        <f>IF($A15="", "", SUMIFS( Weekly_Bonus_By_Person!$D:$D, Weekly_Bonus_By_Person!$A:$A, $A15, Weekly_Bonus_By_Person!$C:$C, $B15 ) )</f>
        <v>0</v>
      </c>
      <c r="E15" s="24">
        <f t="shared" si="1"/>
        <v>213.2</v>
      </c>
    </row>
    <row r="16">
      <c r="A16" s="18" t="str">
        <f>IFERROR(__xludf.DUMMYFUNCTION("""COMPUTED_VALUE"""),"Aisha Johnson")</f>
        <v>Aisha Johnson</v>
      </c>
      <c r="B16" s="14">
        <f>IFERROR(__xludf.DUMMYFUNCTION("""COMPUTED_VALUE"""),46052.0)</f>
        <v>46052</v>
      </c>
      <c r="C16" s="24">
        <f>IF($A16="", "",  SUMIFS( Data!$T:$T, Data!$C:$C, $A16, Data!$Y:$Y, $B16 ) + SUMIFS( Data!$X:$X, Data!$C:$C, $A16, Data!$Y:$Y, $B16 ) )</f>
        <v>2278.383333</v>
      </c>
      <c r="D16" s="18">
        <f>IF($A16="", "", SUMIFS( Weekly_Bonus_By_Person!$D:$D, Weekly_Bonus_By_Person!$A:$A, $A16, Weekly_Bonus_By_Person!$C:$C, $B16 ) )</f>
        <v>100</v>
      </c>
      <c r="E16" s="24">
        <f t="shared" si="1"/>
        <v>2378.383333</v>
      </c>
    </row>
    <row r="17">
      <c r="A17" s="18" t="str">
        <f>IFERROR(__xludf.DUMMYFUNCTION("""COMPUTED_VALUE"""),"Hannah O’Connor")</f>
        <v>Hannah O’Connor</v>
      </c>
      <c r="B17" s="14">
        <f>IFERROR(__xludf.DUMMYFUNCTION("""COMPUTED_VALUE"""),46052.0)</f>
        <v>46052</v>
      </c>
      <c r="C17" s="24">
        <f>IF($A17="", "",  SUMIFS( Data!$T:$T, Data!$C:$C, $A17, Data!$Y:$Y, $B17 ) + SUMIFS( Data!$X:$X, Data!$C:$C, $A17, Data!$Y:$Y, $B17 ) )</f>
        <v>434</v>
      </c>
      <c r="D17" s="18">
        <f>IF($A17="", "", SUMIFS( Weekly_Bonus_By_Person!$D:$D, Weekly_Bonus_By_Person!$A:$A, $A17, Weekly_Bonus_By_Person!$C:$C, $B17 ) )</f>
        <v>0</v>
      </c>
      <c r="E17" s="24">
        <f t="shared" si="1"/>
        <v>434</v>
      </c>
    </row>
    <row r="18">
      <c r="A18" s="18" t="str">
        <f>IFERROR(__xludf.DUMMYFUNCTION("""COMPUTED_VALUE"""),"Jamal Washington")</f>
        <v>Jamal Washington</v>
      </c>
      <c r="B18" s="14">
        <f>IFERROR(__xludf.DUMMYFUNCTION("""COMPUTED_VALUE"""),46052.0)</f>
        <v>46052</v>
      </c>
      <c r="C18" s="24">
        <f>IF($A18="", "",  SUMIFS( Data!$T:$T, Data!$C:$C, $A18, Data!$Y:$Y, $B18 ) + SUMIFS( Data!$X:$X, Data!$C:$C, $A18, Data!$Y:$Y, $B18 ) )</f>
        <v>1046</v>
      </c>
      <c r="D18" s="18">
        <f>IF($A18="", "", SUMIFS( Weekly_Bonus_By_Person!$D:$D, Weekly_Bonus_By_Person!$A:$A, $A18, Weekly_Bonus_By_Person!$C:$C, $B18 ) )</f>
        <v>0</v>
      </c>
      <c r="E18" s="24">
        <f t="shared" si="1"/>
        <v>1046</v>
      </c>
    </row>
    <row r="19">
      <c r="A19" s="18" t="str">
        <f>IFERROR(__xludf.DUMMYFUNCTION("""COMPUTED_VALUE"""),"Linh Tran")</f>
        <v>Linh Tran</v>
      </c>
      <c r="B19" s="14">
        <f>IFERROR(__xludf.DUMMYFUNCTION("""COMPUTED_VALUE"""),46052.0)</f>
        <v>46052</v>
      </c>
      <c r="C19" s="24">
        <f>IF($A19="", "",  SUMIFS( Data!$T:$T, Data!$C:$C, $A19, Data!$Y:$Y, $B19 ) + SUMIFS( Data!$X:$X, Data!$C:$C, $A19, Data!$Y:$Y, $B19 ) )</f>
        <v>246</v>
      </c>
      <c r="D19" s="18">
        <f>IF($A19="", "", SUMIFS( Weekly_Bonus_By_Person!$D:$D, Weekly_Bonus_By_Person!$A:$A, $A19, Weekly_Bonus_By_Person!$C:$C, $B19 ) )</f>
        <v>0</v>
      </c>
      <c r="E19" s="24">
        <f t="shared" si="1"/>
        <v>246</v>
      </c>
    </row>
    <row r="20">
      <c r="A20" s="18" t="str">
        <f>IFERROR(__xludf.DUMMYFUNCTION("""COMPUTED_VALUE"""),"Olivia Bennett")</f>
        <v>Olivia Bennett</v>
      </c>
      <c r="B20" s="14">
        <f>IFERROR(__xludf.DUMMYFUNCTION("""COMPUTED_VALUE"""),46052.0)</f>
        <v>46052</v>
      </c>
      <c r="C20" s="24">
        <f>IF($A20="", "",  SUMIFS( Data!$T:$T, Data!$C:$C, $A20, Data!$Y:$Y, $B20 ) + SUMIFS( Data!$X:$X, Data!$C:$C, $A20, Data!$Y:$Y, $B20 ) )</f>
        <v>610</v>
      </c>
      <c r="D20" s="18">
        <f>IF($A20="", "", SUMIFS( Weekly_Bonus_By_Person!$D:$D, Weekly_Bonus_By_Person!$A:$A, $A20, Weekly_Bonus_By_Person!$C:$C, $B20 ) )</f>
        <v>0</v>
      </c>
      <c r="E20" s="24">
        <f t="shared" si="1"/>
        <v>610</v>
      </c>
    </row>
    <row r="21">
      <c r="A21" s="18" t="str">
        <f>IFERROR(__xludf.DUMMYFUNCTION("""COMPUTED_VALUE"""),"Rohan Mehta")</f>
        <v>Rohan Mehta</v>
      </c>
      <c r="B21" s="14">
        <f>IFERROR(__xludf.DUMMYFUNCTION("""COMPUTED_VALUE"""),46052.0)</f>
        <v>46052</v>
      </c>
      <c r="C21" s="24">
        <f>IF($A21="", "",  SUMIFS( Data!$T:$T, Data!$C:$C, $A21, Data!$Y:$Y, $B21 ) + SUMIFS( Data!$X:$X, Data!$C:$C, $A21, Data!$Y:$Y, $B21 ) )</f>
        <v>556.8</v>
      </c>
      <c r="D21" s="18">
        <f>IF($A21="", "", SUMIFS( Weekly_Bonus_By_Person!$D:$D, Weekly_Bonus_By_Person!$A:$A, $A21, Weekly_Bonus_By_Person!$C:$C, $B21 ) )</f>
        <v>0</v>
      </c>
      <c r="E21" s="24">
        <f t="shared" si="1"/>
        <v>556.8</v>
      </c>
    </row>
    <row r="22">
      <c r="A22" s="18" t="str">
        <f>IFERROR(__xludf.DUMMYFUNCTION("""COMPUTED_VALUE"""),"Isabella Flores")</f>
        <v>Isabella Flores</v>
      </c>
      <c r="B22" s="14">
        <f>IFERROR(__xludf.DUMMYFUNCTION("""COMPUTED_VALUE"""),46052.0)</f>
        <v>46052</v>
      </c>
      <c r="C22" s="24">
        <f>IF($A22="", "",  SUMIFS( Data!$T:$T, Data!$C:$C, $A22, Data!$Y:$Y, $B22 ) + SUMIFS( Data!$X:$X, Data!$C:$C, $A22, Data!$Y:$Y, $B22 ) )</f>
        <v>1021.2</v>
      </c>
      <c r="D22" s="18">
        <f>IF($A22="", "", SUMIFS( Weekly_Bonus_By_Person!$D:$D, Weekly_Bonus_By_Person!$A:$A, $A22, Weekly_Bonus_By_Person!$C:$C, $B22 ) )</f>
        <v>100</v>
      </c>
      <c r="E22" s="24">
        <f t="shared" si="1"/>
        <v>1121.2</v>
      </c>
    </row>
    <row r="23">
      <c r="A23" s="18" t="str">
        <f>IFERROR(__xludf.DUMMYFUNCTION("""COMPUTED_VALUE"""),"Maya Patel")</f>
        <v>Maya Patel</v>
      </c>
      <c r="B23" s="14">
        <f>IFERROR(__xludf.DUMMYFUNCTION("""COMPUTED_VALUE"""),46052.0)</f>
        <v>46052</v>
      </c>
      <c r="C23" s="24">
        <f>IF($A23="", "",  SUMIFS( Data!$T:$T, Data!$C:$C, $A23, Data!$Y:$Y, $B23 ) + SUMIFS( Data!$X:$X, Data!$C:$C, $A23, Data!$Y:$Y, $B23 ) )</f>
        <v>2345.55</v>
      </c>
      <c r="D23" s="18">
        <f>IF($A23="", "", SUMIFS( Weekly_Bonus_By_Person!$D:$D, Weekly_Bonus_By_Person!$A:$A, $A23, Weekly_Bonus_By_Person!$C:$C, $B23 ) )</f>
        <v>250</v>
      </c>
      <c r="E23" s="24">
        <f t="shared" si="1"/>
        <v>2595.55</v>
      </c>
    </row>
    <row r="24">
      <c r="A24" s="18" t="str">
        <f>IFERROR(__xludf.DUMMYFUNCTION("""COMPUTED_VALUE"""),"Alejandro Cruz")</f>
        <v>Alejandro Cruz</v>
      </c>
      <c r="B24" s="14">
        <f>IFERROR(__xludf.DUMMYFUNCTION("""COMPUTED_VALUE"""),46052.0)</f>
        <v>46052</v>
      </c>
      <c r="C24" s="24">
        <f>IF($A24="", "",  SUMIFS( Data!$T:$T, Data!$C:$C, $A24, Data!$Y:$Y, $B24 ) + SUMIFS( Data!$X:$X, Data!$C:$C, $A24, Data!$Y:$Y, $B24 ) )</f>
        <v>1312</v>
      </c>
      <c r="D24" s="18">
        <f>IF($A24="", "", SUMIFS( Weekly_Bonus_By_Person!$D:$D, Weekly_Bonus_By_Person!$A:$A, $A24, Weekly_Bonus_By_Person!$C:$C, $B24 ) )</f>
        <v>100</v>
      </c>
      <c r="E24" s="24">
        <f t="shared" si="1"/>
        <v>1412</v>
      </c>
    </row>
    <row r="25">
      <c r="A25" s="18" t="str">
        <f>IFERROR(__xludf.DUMMYFUNCTION("""COMPUTED_VALUE"""),"Samuel Wright")</f>
        <v>Samuel Wright</v>
      </c>
      <c r="B25" s="14">
        <f>IFERROR(__xludf.DUMMYFUNCTION("""COMPUTED_VALUE"""),46052.0)</f>
        <v>46052</v>
      </c>
      <c r="C25" s="24">
        <f>IF($A25="", "",  SUMIFS( Data!$T:$T, Data!$C:$C, $A25, Data!$Y:$Y, $B25 ) + SUMIFS( Data!$X:$X, Data!$C:$C, $A25, Data!$Y:$Y, $B25 ) )</f>
        <v>745.2</v>
      </c>
      <c r="D25" s="18">
        <f>IF($A25="", "", SUMIFS( Weekly_Bonus_By_Person!$D:$D, Weekly_Bonus_By_Person!$A:$A, $A25, Weekly_Bonus_By_Person!$C:$C, $B25 ) )</f>
        <v>0</v>
      </c>
      <c r="E25" s="24">
        <f t="shared" si="1"/>
        <v>745.2</v>
      </c>
    </row>
    <row r="26">
      <c r="A26" s="18" t="str">
        <f>IFERROR(__xludf.DUMMYFUNCTION("""COMPUTED_VALUE"""),"Caleb Robinson")</f>
        <v>Caleb Robinson</v>
      </c>
      <c r="B26" s="14">
        <f>IFERROR(__xludf.DUMMYFUNCTION("""COMPUTED_VALUE"""),46052.0)</f>
        <v>46052</v>
      </c>
      <c r="C26" s="24">
        <f>IF($A26="", "",  SUMIFS( Data!$T:$T, Data!$C:$C, $A26, Data!$Y:$Y, $B26 ) + SUMIFS( Data!$X:$X, Data!$C:$C, $A26, Data!$Y:$Y, $B26 ) )</f>
        <v>260</v>
      </c>
      <c r="D26" s="18">
        <f>IF($A26="", "", SUMIFS( Weekly_Bonus_By_Person!$D:$D, Weekly_Bonus_By_Person!$A:$A, $A26, Weekly_Bonus_By_Person!$C:$C, $B26 ) )</f>
        <v>0</v>
      </c>
      <c r="E26" s="24">
        <f t="shared" si="1"/>
        <v>260</v>
      </c>
    </row>
    <row r="27">
      <c r="A27" s="18" t="str">
        <f>IFERROR(__xludf.DUMMYFUNCTION("""COMPUTED_VALUE"""),"Grace Nguyen")</f>
        <v>Grace Nguyen</v>
      </c>
      <c r="B27" s="14">
        <f>IFERROR(__xludf.DUMMYFUNCTION("""COMPUTED_VALUE"""),46052.0)</f>
        <v>46052</v>
      </c>
      <c r="C27" s="24">
        <f>IF($A27="", "",  SUMIFS( Data!$T:$T, Data!$C:$C, $A27, Data!$Y:$Y, $B27 ) + SUMIFS( Data!$X:$X, Data!$C:$C, $A27, Data!$Y:$Y, $B27 ) )</f>
        <v>1989.433333</v>
      </c>
      <c r="D27" s="18">
        <f>IF($A27="", "", SUMIFS( Weekly_Bonus_By_Person!$D:$D, Weekly_Bonus_By_Person!$A:$A, $A27, Weekly_Bonus_By_Person!$C:$C, $B27 ) )</f>
        <v>150</v>
      </c>
      <c r="E27" s="24">
        <f t="shared" si="1"/>
        <v>2139.433333</v>
      </c>
    </row>
    <row r="28">
      <c r="A28" s="18" t="str">
        <f>IFERROR(__xludf.DUMMYFUNCTION("""COMPUTED_VALUE"""),"Sofia Martinez")</f>
        <v>Sofia Martinez</v>
      </c>
      <c r="B28" s="14">
        <f>IFERROR(__xludf.DUMMYFUNCTION("""COMPUTED_VALUE"""),46052.0)</f>
        <v>46052</v>
      </c>
      <c r="C28" s="24">
        <f>IF($A28="", "",  SUMIFS( Data!$T:$T, Data!$C:$C, $A28, Data!$Y:$Y, $B28 ) + SUMIFS( Data!$X:$X, Data!$C:$C, $A28, Data!$Y:$Y, $B28 ) )</f>
        <v>186.8</v>
      </c>
      <c r="D28" s="18">
        <f>IF($A28="", "", SUMIFS( Weekly_Bonus_By_Person!$D:$D, Weekly_Bonus_By_Person!$A:$A, $A28, Weekly_Bonus_By_Person!$C:$C, $B28 ) )</f>
        <v>0</v>
      </c>
      <c r="E28" s="24">
        <f t="shared" si="1"/>
        <v>186.8</v>
      </c>
    </row>
    <row r="29">
      <c r="A29" s="18" t="str">
        <f>IFERROR(__xludf.DUMMYFUNCTION("""COMPUTED_VALUE"""),"Zainab Ali")</f>
        <v>Zainab Ali</v>
      </c>
      <c r="B29" s="14">
        <f>IFERROR(__xludf.DUMMYFUNCTION("""COMPUTED_VALUE"""),46052.0)</f>
        <v>46052</v>
      </c>
      <c r="C29" s="24">
        <f>IF($A29="", "",  SUMIFS( Data!$T:$T, Data!$C:$C, $A29, Data!$Y:$Y, $B29 ) + SUMIFS( Data!$X:$X, Data!$C:$C, $A29, Data!$Y:$Y, $B29 ) )</f>
        <v>801.1666667</v>
      </c>
      <c r="D29" s="18">
        <f>IF($A29="", "", SUMIFS( Weekly_Bonus_By_Person!$D:$D, Weekly_Bonus_By_Person!$A:$A, $A29, Weekly_Bonus_By_Person!$C:$C, $B29 ) )</f>
        <v>0</v>
      </c>
      <c r="E29" s="24">
        <f t="shared" si="1"/>
        <v>801.1666667</v>
      </c>
    </row>
    <row r="30">
      <c r="A30" s="18" t="str">
        <f>IFERROR(__xludf.DUMMYFUNCTION("""COMPUTED_VALUE"""),"Ethan Brooks")</f>
        <v>Ethan Brooks</v>
      </c>
      <c r="B30" s="14">
        <f>IFERROR(__xludf.DUMMYFUNCTION("""COMPUTED_VALUE"""),46052.0)</f>
        <v>46052</v>
      </c>
      <c r="C30" s="24">
        <f>IF($A30="", "",  SUMIFS( Data!$T:$T, Data!$C:$C, $A30, Data!$Y:$Y, $B30 ) + SUMIFS( Data!$X:$X, Data!$C:$C, $A30, Data!$Y:$Y, $B30 ) )</f>
        <v>1312.733333</v>
      </c>
      <c r="D30" s="18">
        <f>IF($A30="", "", SUMIFS( Weekly_Bonus_By_Person!$D:$D, Weekly_Bonus_By_Person!$A:$A, $A30, Weekly_Bonus_By_Person!$C:$C, $B30 ) )</f>
        <v>0</v>
      </c>
      <c r="E30" s="24">
        <f t="shared" si="1"/>
        <v>1312.733333</v>
      </c>
    </row>
    <row r="31">
      <c r="A31" s="18" t="str">
        <f>IFERROR(__xludf.DUMMYFUNCTION("""COMPUTED_VALUE"""),"Fatima Hassan")</f>
        <v>Fatima Hassan</v>
      </c>
      <c r="B31" s="14">
        <f>IFERROR(__xludf.DUMMYFUNCTION("""COMPUTED_VALUE"""),46052.0)</f>
        <v>46052</v>
      </c>
      <c r="C31" s="24">
        <f>IF($A31="", "",  SUMIFS( Data!$T:$T, Data!$C:$C, $A31, Data!$Y:$Y, $B31 ) + SUMIFS( Data!$X:$X, Data!$C:$C, $A31, Data!$Y:$Y, $B31 ) )</f>
        <v>1650.666667</v>
      </c>
      <c r="D31" s="18">
        <f>IF($A31="", "", SUMIFS( Weekly_Bonus_By_Person!$D:$D, Weekly_Bonus_By_Person!$A:$A, $A31, Weekly_Bonus_By_Person!$C:$C, $B31 ) )</f>
        <v>100</v>
      </c>
      <c r="E31" s="24">
        <f t="shared" si="1"/>
        <v>1750.666667</v>
      </c>
    </row>
    <row r="32">
      <c r="A32" s="18" t="str">
        <f>IFERROR(__xludf.DUMMYFUNCTION("""COMPUTED_VALUE"""),"Marcus Thompson")</f>
        <v>Marcus Thompson</v>
      </c>
      <c r="B32" s="14">
        <f>IFERROR(__xludf.DUMMYFUNCTION("""COMPUTED_VALUE"""),46052.0)</f>
        <v>46052</v>
      </c>
      <c r="C32" s="24">
        <f>IF($A32="", "",  SUMIFS( Data!$T:$T, Data!$C:$C, $A32, Data!$Y:$Y, $B32 ) + SUMIFS( Data!$X:$X, Data!$C:$C, $A32, Data!$Y:$Y, $B32 ) )</f>
        <v>886.9</v>
      </c>
      <c r="D32" s="18">
        <f>IF($A32="", "", SUMIFS( Weekly_Bonus_By_Person!$D:$D, Weekly_Bonus_By_Person!$A:$A, $A32, Weekly_Bonus_By_Person!$C:$C, $B32 ) )</f>
        <v>0</v>
      </c>
      <c r="E32" s="24">
        <f t="shared" si="1"/>
        <v>886.9</v>
      </c>
    </row>
    <row r="33">
      <c r="A33" s="18" t="str">
        <f>IFERROR(__xludf.DUMMYFUNCTION("""COMPUTED_VALUE"""),"Priya Nair")</f>
        <v>Priya Nair</v>
      </c>
      <c r="B33" s="14">
        <f>IFERROR(__xludf.DUMMYFUNCTION("""COMPUTED_VALUE"""),46052.0)</f>
        <v>46052</v>
      </c>
      <c r="C33" s="24">
        <f>IF($A33="", "",  SUMIFS( Data!$T:$T, Data!$C:$C, $A33, Data!$Y:$Y, $B33 ) + SUMIFS( Data!$X:$X, Data!$C:$C, $A33, Data!$Y:$Y, $B33 ) )</f>
        <v>2114.1</v>
      </c>
      <c r="D33" s="18">
        <f>IF($A33="", "", SUMIFS( Weekly_Bonus_By_Person!$D:$D, Weekly_Bonus_By_Person!$A:$A, $A33, Weekly_Bonus_By_Person!$C:$C, $B33 ) )</f>
        <v>100</v>
      </c>
      <c r="E33" s="24">
        <f t="shared" si="1"/>
        <v>2214.1</v>
      </c>
    </row>
    <row r="34">
      <c r="A34" s="18" t="str">
        <f>IFERROR(__xludf.DUMMYFUNCTION("""COMPUTED_VALUE"""),"Chloe Park")</f>
        <v>Chloe Park</v>
      </c>
      <c r="B34" s="14">
        <f>IFERROR(__xludf.DUMMYFUNCTION("""COMPUTED_VALUE"""),46052.0)</f>
        <v>46052</v>
      </c>
      <c r="C34" s="24">
        <f>IF($A34="", "",  SUMIFS( Data!$T:$T, Data!$C:$C, $A34, Data!$Y:$Y, $B34 ) + SUMIFS( Data!$X:$X, Data!$C:$C, $A34, Data!$Y:$Y, $B34 ) )</f>
        <v>1304.8</v>
      </c>
      <c r="D34" s="18">
        <f>IF($A34="", "", SUMIFS( Weekly_Bonus_By_Person!$D:$D, Weekly_Bonus_By_Person!$A:$A, $A34, Weekly_Bonus_By_Person!$C:$C, $B34 ) )</f>
        <v>0</v>
      </c>
      <c r="E34" s="24">
        <f t="shared" si="1"/>
        <v>1304.8</v>
      </c>
    </row>
    <row r="35">
      <c r="A35" s="18" t="str">
        <f>IFERROR(__xludf.DUMMYFUNCTION("""COMPUTED_VALUE"""),"Emily Chen")</f>
        <v>Emily Chen</v>
      </c>
      <c r="B35" s="14">
        <f>IFERROR(__xludf.DUMMYFUNCTION("""COMPUTED_VALUE"""),46052.0)</f>
        <v>46052</v>
      </c>
      <c r="C35" s="24">
        <f>IF($A35="", "",  SUMIFS( Data!$T:$T, Data!$C:$C, $A35, Data!$Y:$Y, $B35 ) + SUMIFS( Data!$X:$X, Data!$C:$C, $A35, Data!$Y:$Y, $B35 ) )</f>
        <v>786.0666667</v>
      </c>
      <c r="D35" s="18">
        <f>IF($A35="", "", SUMIFS( Weekly_Bonus_By_Person!$D:$D, Weekly_Bonus_By_Person!$A:$A, $A35, Weekly_Bonus_By_Person!$C:$C, $B35 ) )</f>
        <v>0</v>
      </c>
      <c r="E35" s="24">
        <f t="shared" si="1"/>
        <v>786.0666667</v>
      </c>
    </row>
    <row r="36">
      <c r="A36" s="18" t="str">
        <f>IFERROR(__xludf.DUMMYFUNCTION("""COMPUTED_VALUE"""),"Ahmed El-Sayed")</f>
        <v>Ahmed El-Sayed</v>
      </c>
      <c r="B36" s="14">
        <f>IFERROR(__xludf.DUMMYFUNCTION("""COMPUTED_VALUE"""),46052.0)</f>
        <v>46052</v>
      </c>
      <c r="C36" s="24">
        <f>IF($A36="", "",  SUMIFS( Data!$T:$T, Data!$C:$C, $A36, Data!$Y:$Y, $B36 ) + SUMIFS( Data!$X:$X, Data!$C:$C, $A36, Data!$Y:$Y, $B36 ) )</f>
        <v>1080.4</v>
      </c>
      <c r="D36" s="18">
        <f>IF($A36="", "", SUMIFS( Weekly_Bonus_By_Person!$D:$D, Weekly_Bonus_By_Person!$A:$A, $A36, Weekly_Bonus_By_Person!$C:$C, $B36 ) )</f>
        <v>0</v>
      </c>
      <c r="E36" s="24">
        <f t="shared" si="1"/>
        <v>1080.4</v>
      </c>
    </row>
    <row r="37">
      <c r="A37" s="18" t="str">
        <f>IFERROR(__xludf.DUMMYFUNCTION("""COMPUTED_VALUE"""),"Natalie Rivera")</f>
        <v>Natalie Rivera</v>
      </c>
      <c r="B37" s="14">
        <f>IFERROR(__xludf.DUMMYFUNCTION("""COMPUTED_VALUE"""),46052.0)</f>
        <v>46052</v>
      </c>
      <c r="C37" s="24">
        <f>IF($A37="", "",  SUMIFS( Data!$T:$T, Data!$C:$C, $A37, Data!$Y:$Y, $B37 ) + SUMIFS( Data!$X:$X, Data!$C:$C, $A37, Data!$Y:$Y, $B37 ) )</f>
        <v>390</v>
      </c>
      <c r="D37" s="18">
        <f>IF($A37="", "", SUMIFS( Weekly_Bonus_By_Person!$D:$D, Weekly_Bonus_By_Person!$A:$A, $A37, Weekly_Bonus_By_Person!$C:$C, $B37 ) )</f>
        <v>0</v>
      </c>
      <c r="E37" s="24">
        <f t="shared" si="1"/>
        <v>390</v>
      </c>
    </row>
    <row r="38">
      <c r="A38" s="18" t="str">
        <f>IFERROR(__xludf.DUMMYFUNCTION("""COMPUTED_VALUE"""),"Benjamin Stein")</f>
        <v>Benjamin Stein</v>
      </c>
      <c r="B38" s="14">
        <f>IFERROR(__xludf.DUMMYFUNCTION("""COMPUTED_VALUE"""),46052.0)</f>
        <v>46052</v>
      </c>
      <c r="C38" s="24">
        <f>IF($A38="", "",  SUMIFS( Data!$T:$T, Data!$C:$C, $A38, Data!$Y:$Y, $B38 ) + SUMIFS( Data!$X:$X, Data!$C:$C, $A38, Data!$Y:$Y, $B38 ) )</f>
        <v>1454.4</v>
      </c>
      <c r="D38" s="18">
        <f>IF($A38="", "", SUMIFS( Weekly_Bonus_By_Person!$D:$D, Weekly_Bonus_By_Person!$A:$A, $A38, Weekly_Bonus_By_Person!$C:$C, $B38 ) )</f>
        <v>0</v>
      </c>
      <c r="E38" s="24">
        <f t="shared" si="1"/>
        <v>1454.4</v>
      </c>
    </row>
    <row r="39">
      <c r="A39" s="18" t="str">
        <f>IFERROR(__xludf.DUMMYFUNCTION("""COMPUTED_VALUE"""),"Leila Abdallah")</f>
        <v>Leila Abdallah</v>
      </c>
      <c r="B39" s="14">
        <f>IFERROR(__xludf.DUMMYFUNCTION("""COMPUTED_VALUE"""),46052.0)</f>
        <v>46052</v>
      </c>
      <c r="C39" s="24">
        <f>IF($A39="", "",  SUMIFS( Data!$T:$T, Data!$C:$C, $A39, Data!$Y:$Y, $B39 ) + SUMIFS( Data!$X:$X, Data!$C:$C, $A39, Data!$Y:$Y, $B39 ) )</f>
        <v>72</v>
      </c>
      <c r="D39" s="18">
        <f>IF($A39="", "", SUMIFS( Weekly_Bonus_By_Person!$D:$D, Weekly_Bonus_By_Person!$A:$A, $A39, Weekly_Bonus_By_Person!$C:$C, $B39 ) )</f>
        <v>0</v>
      </c>
      <c r="E39" s="24">
        <f t="shared" si="1"/>
        <v>72</v>
      </c>
    </row>
    <row r="40">
      <c r="A40" s="18" t="str">
        <f>IFERROR(__xludf.DUMMYFUNCTION("""COMPUTED_VALUE"""),"Jordan Williams")</f>
        <v>Jordan Williams</v>
      </c>
      <c r="B40" s="14">
        <f>IFERROR(__xludf.DUMMYFUNCTION("""COMPUTED_VALUE"""),46052.0)</f>
        <v>46052</v>
      </c>
      <c r="C40" s="24">
        <f>IF($A40="", "",  SUMIFS( Data!$T:$T, Data!$C:$C, $A40, Data!$Y:$Y, $B40 ) + SUMIFS( Data!$X:$X, Data!$C:$C, $A40, Data!$Y:$Y, $B40 ) )</f>
        <v>740.85</v>
      </c>
      <c r="D40" s="18">
        <f>IF($A40="", "", SUMIFS( Weekly_Bonus_By_Person!$D:$D, Weekly_Bonus_By_Person!$A:$A, $A40, Weekly_Bonus_By_Person!$C:$C, $B40 ) )</f>
        <v>0</v>
      </c>
      <c r="E40" s="24">
        <f t="shared" si="1"/>
        <v>740.85</v>
      </c>
    </row>
    <row r="41">
      <c r="A41" s="18" t="str">
        <f>IFERROR(__xludf.DUMMYFUNCTION("""COMPUTED_VALUE"""),"Daniel Kim")</f>
        <v>Daniel Kim</v>
      </c>
      <c r="B41" s="14">
        <f>IFERROR(__xludf.DUMMYFUNCTION("""COMPUTED_VALUE"""),46052.0)</f>
        <v>46052</v>
      </c>
      <c r="C41" s="24">
        <f>IF($A41="", "",  SUMIFS( Data!$T:$T, Data!$C:$C, $A41, Data!$Y:$Y, $B41 ) + SUMIFS( Data!$X:$X, Data!$C:$C, $A41, Data!$Y:$Y, $B41 ) )</f>
        <v>1590</v>
      </c>
      <c r="D41" s="18">
        <f>IF($A41="", "", SUMIFS( Weekly_Bonus_By_Person!$D:$D, Weekly_Bonus_By_Person!$A:$A, $A41, Weekly_Bonus_By_Person!$C:$C, $B41 ) )</f>
        <v>0</v>
      </c>
      <c r="E41" s="24">
        <f t="shared" si="1"/>
        <v>1590</v>
      </c>
    </row>
    <row r="42">
      <c r="A42" s="18" t="str">
        <f>IFERROR(__xludf.DUMMYFUNCTION("""COMPUTED_VALUE"""),"David Okafor")</f>
        <v>David Okafor</v>
      </c>
      <c r="B42" s="14">
        <f>IFERROR(__xludf.DUMMYFUNCTION("""COMPUTED_VALUE"""),46052.0)</f>
        <v>46052</v>
      </c>
      <c r="C42" s="24">
        <f>IF($A42="", "",  SUMIFS( Data!$T:$T, Data!$C:$C, $A42, Data!$Y:$Y, $B42 ) + SUMIFS( Data!$X:$X, Data!$C:$C, $A42, Data!$Y:$Y, $B42 ) )</f>
        <v>1176.8</v>
      </c>
      <c r="D42" s="18">
        <f>IF($A42="", "", SUMIFS( Weekly_Bonus_By_Person!$D:$D, Weekly_Bonus_By_Person!$A:$A, $A42, Weekly_Bonus_By_Person!$C:$C, $B42 ) )</f>
        <v>0</v>
      </c>
      <c r="E42" s="24">
        <f t="shared" si="1"/>
        <v>1176.8</v>
      </c>
    </row>
    <row r="43">
      <c r="A43" s="18" t="str">
        <f>IFERROR(__xludf.DUMMYFUNCTION("""COMPUTED_VALUE"""),"Noah Levine")</f>
        <v>Noah Levine</v>
      </c>
      <c r="B43" s="14">
        <f>IFERROR(__xludf.DUMMYFUNCTION("""COMPUTED_VALUE"""),46052.0)</f>
        <v>46052</v>
      </c>
      <c r="C43" s="24">
        <f>IF($A43="", "",  SUMIFS( Data!$T:$T, Data!$C:$C, $A43, Data!$Y:$Y, $B43 ) + SUMIFS( Data!$X:$X, Data!$C:$C, $A43, Data!$Y:$Y, $B43 ) )</f>
        <v>48</v>
      </c>
      <c r="D43" s="18">
        <f>IF($A43="", "", SUMIFS( Weekly_Bonus_By_Person!$D:$D, Weekly_Bonus_By_Person!$A:$A, $A43, Weekly_Bonus_By_Person!$C:$C, $B43 ) )</f>
        <v>0</v>
      </c>
      <c r="E43" s="24">
        <f t="shared" si="1"/>
        <v>48</v>
      </c>
    </row>
    <row r="44">
      <c r="A44" s="18" t="str">
        <f>IFERROR(__xludf.DUMMYFUNCTION("""COMPUTED_VALUE"""),"Julia Kowalski")</f>
        <v>Julia Kowalski</v>
      </c>
      <c r="B44" s="14">
        <f>IFERROR(__xludf.DUMMYFUNCTION("""COMPUTED_VALUE"""),46052.0)</f>
        <v>46052</v>
      </c>
      <c r="C44" s="24">
        <f>IF($A44="", "",  SUMIFS( Data!$T:$T, Data!$C:$C, $A44, Data!$Y:$Y, $B44 ) + SUMIFS( Data!$X:$X, Data!$C:$C, $A44, Data!$Y:$Y, $B44 ) )</f>
        <v>1348</v>
      </c>
      <c r="D44" s="18">
        <f>IF($A44="", "", SUMIFS( Weekly_Bonus_By_Person!$D:$D, Weekly_Bonus_By_Person!$A:$A, $A44, Weekly_Bonus_By_Person!$C:$C, $B44 ) )</f>
        <v>150</v>
      </c>
      <c r="E44" s="24">
        <f t="shared" si="1"/>
        <v>1498</v>
      </c>
    </row>
    <row r="45">
      <c r="A45" s="18" t="str">
        <f>IFERROR(__xludf.DUMMYFUNCTION("""COMPUTED_VALUE"""),"Victor Ivanov")</f>
        <v>Victor Ivanov</v>
      </c>
      <c r="B45" s="14">
        <f>IFERROR(__xludf.DUMMYFUNCTION("""COMPUTED_VALUE"""),46052.0)</f>
        <v>46052</v>
      </c>
      <c r="C45" s="24">
        <f>IF($A45="", "",  SUMIFS( Data!$T:$T, Data!$C:$C, $A45, Data!$Y:$Y, $B45 ) + SUMIFS( Data!$X:$X, Data!$C:$C, $A45, Data!$Y:$Y, $B45 ) )</f>
        <v>734.4</v>
      </c>
      <c r="D45" s="18">
        <f>IF($A45="", "", SUMIFS( Weekly_Bonus_By_Person!$D:$D, Weekly_Bonus_By_Person!$A:$A, $A45, Weekly_Bonus_By_Person!$C:$C, $B45 ) )</f>
        <v>0</v>
      </c>
      <c r="E45" s="24">
        <f t="shared" si="1"/>
        <v>734.4</v>
      </c>
    </row>
    <row r="46">
      <c r="A46" s="18" t="str">
        <f>IFERROR(__xludf.DUMMYFUNCTION("""COMPUTED_VALUE"""),"Amara Mensah")</f>
        <v>Amara Mensah</v>
      </c>
      <c r="B46" s="14">
        <f>IFERROR(__xludf.DUMMYFUNCTION("""COMPUTED_VALUE"""),46052.0)</f>
        <v>46052</v>
      </c>
      <c r="C46" s="24">
        <f>IF($A46="", "",  SUMIFS( Data!$T:$T, Data!$C:$C, $A46, Data!$Y:$Y, $B46 ) + SUMIFS( Data!$X:$X, Data!$C:$C, $A46, Data!$Y:$Y, $B46 ) )</f>
        <v>766.8</v>
      </c>
      <c r="D46" s="18">
        <f>IF($A46="", "", SUMIFS( Weekly_Bonus_By_Person!$D:$D, Weekly_Bonus_By_Person!$A:$A, $A46, Weekly_Bonus_By_Person!$C:$C, $B46 ) )</f>
        <v>0</v>
      </c>
      <c r="E46" s="24">
        <f t="shared" si="1"/>
        <v>766.8</v>
      </c>
    </row>
    <row r="47">
      <c r="A47" s="18" t="str">
        <f>IFERROR(__xludf.DUMMYFUNCTION("""COMPUTED_VALUE"""),"Tyler Price")</f>
        <v>Tyler Price</v>
      </c>
      <c r="B47" s="14">
        <f>IFERROR(__xludf.DUMMYFUNCTION("""COMPUTED_VALUE"""),46052.0)</f>
        <v>46052</v>
      </c>
      <c r="C47" s="24">
        <f>IF($A47="", "",  SUMIFS( Data!$T:$T, Data!$C:$C, $A47, Data!$Y:$Y, $B47 ) + SUMIFS( Data!$X:$X, Data!$C:$C, $A47, Data!$Y:$Y, $B47 ) )</f>
        <v>572.8</v>
      </c>
      <c r="D47" s="18">
        <f>IF($A47="", "", SUMIFS( Weekly_Bonus_By_Person!$D:$D, Weekly_Bonus_By_Person!$A:$A, $A47, Weekly_Bonus_By_Person!$C:$C, $B47 ) )</f>
        <v>0</v>
      </c>
      <c r="E47" s="24">
        <f t="shared" si="1"/>
        <v>572.8</v>
      </c>
    </row>
    <row r="48">
      <c r="A48" s="18" t="str">
        <f>IFERROR(__xludf.DUMMYFUNCTION("""COMPUTED_VALUE"""),"Mei Liu")</f>
        <v>Mei Liu</v>
      </c>
      <c r="B48" s="14">
        <f>IFERROR(__xludf.DUMMYFUNCTION("""COMPUTED_VALUE"""),46052.0)</f>
        <v>46052</v>
      </c>
      <c r="C48" s="24">
        <f>IF($A48="", "",  SUMIFS( Data!$T:$T, Data!$C:$C, $A48, Data!$Y:$Y, $B48 ) + SUMIFS( Data!$X:$X, Data!$C:$C, $A48, Data!$Y:$Y, $B48 ) )</f>
        <v>266</v>
      </c>
      <c r="D48" s="18">
        <f>IF($A48="", "", SUMIFS( Weekly_Bonus_By_Person!$D:$D, Weekly_Bonus_By_Person!$A:$A, $A48, Weekly_Bonus_By_Person!$C:$C, $B48 ) )</f>
        <v>0</v>
      </c>
      <c r="E48" s="24">
        <f t="shared" si="1"/>
        <v>266</v>
      </c>
    </row>
    <row r="49">
      <c r="A49" s="18" t="str">
        <f>IFERROR(__xludf.DUMMYFUNCTION("""COMPUTED_VALUE"""),"Luis Herrera")</f>
        <v>Luis Herrera</v>
      </c>
      <c r="B49" s="14">
        <f>IFERROR(__xludf.DUMMYFUNCTION("""COMPUTED_VALUE"""),46052.0)</f>
        <v>46052</v>
      </c>
      <c r="C49" s="24">
        <f>IF($A49="", "",  SUMIFS( Data!$T:$T, Data!$C:$C, $A49, Data!$Y:$Y, $B49 ) + SUMIFS( Data!$X:$X, Data!$C:$C, $A49, Data!$Y:$Y, $B49 ) )</f>
        <v>486</v>
      </c>
      <c r="D49" s="18">
        <f>IF($A49="", "", SUMIFS( Weekly_Bonus_By_Person!$D:$D, Weekly_Bonus_By_Person!$A:$A, $A49, Weekly_Bonus_By_Person!$C:$C, $B49 ) )</f>
        <v>0</v>
      </c>
      <c r="E49" s="24">
        <f t="shared" si="1"/>
        <v>486</v>
      </c>
    </row>
    <row r="50">
      <c r="A50" s="18" t="str">
        <f>IFERROR(__xludf.DUMMYFUNCTION("""COMPUTED_VALUE"""),"Sarah Ahmed")</f>
        <v>Sarah Ahmed</v>
      </c>
      <c r="B50" s="14">
        <f>IFERROR(__xludf.DUMMYFUNCTION("""COMPUTED_VALUE"""),46052.0)</f>
        <v>46052</v>
      </c>
      <c r="C50" s="24">
        <f>IF($A50="", "",  SUMIFS( Data!$T:$T, Data!$C:$C, $A50, Data!$Y:$Y, $B50 ) + SUMIFS( Data!$X:$X, Data!$C:$C, $A50, Data!$Y:$Y, $B50 ) )</f>
        <v>210</v>
      </c>
      <c r="D50" s="18">
        <f>IF($A50="", "", SUMIFS( Weekly_Bonus_By_Person!$D:$D, Weekly_Bonus_By_Person!$A:$A, $A50, Weekly_Bonus_By_Person!$C:$C, $B50 ) )</f>
        <v>0</v>
      </c>
      <c r="E50" s="24">
        <f t="shared" si="1"/>
        <v>210</v>
      </c>
    </row>
    <row r="51">
      <c r="A51" s="18" t="str">
        <f>IFERROR(__xludf.DUMMYFUNCTION("""COMPUTED_VALUE"""),"Kevin Murphy")</f>
        <v>Kevin Murphy</v>
      </c>
      <c r="B51" s="14">
        <f>IFERROR(__xludf.DUMMYFUNCTION("""COMPUTED_VALUE"""),46052.0)</f>
        <v>46052</v>
      </c>
      <c r="C51" s="24">
        <f>IF($A51="", "",  SUMIFS( Data!$T:$T, Data!$C:$C, $A51, Data!$Y:$Y, $B51 ) + SUMIFS( Data!$X:$X, Data!$C:$C, $A51, Data!$Y:$Y, $B51 ) )</f>
        <v>843.1</v>
      </c>
      <c r="D51" s="18">
        <f>IF($A51="", "", SUMIFS( Weekly_Bonus_By_Person!$D:$D, Weekly_Bonus_By_Person!$A:$A, $A51, Weekly_Bonus_By_Person!$C:$C, $B51 ) )</f>
        <v>0</v>
      </c>
      <c r="E51" s="24">
        <f t="shared" si="1"/>
        <v>843.1</v>
      </c>
    </row>
    <row r="52">
      <c r="A52" s="18" t="str">
        <f>IFERROR(__xludf.DUMMYFUNCTION("""COMPUTED_VALUE"""),"Anika Singh")</f>
        <v>Anika Singh</v>
      </c>
      <c r="B52" s="14">
        <f>IFERROR(__xludf.DUMMYFUNCTION("""COMPUTED_VALUE"""),46052.0)</f>
        <v>46052</v>
      </c>
      <c r="C52" s="24">
        <f>IF($A52="", "",  SUMIFS( Data!$T:$T, Data!$C:$C, $A52, Data!$Y:$Y, $B52 ) + SUMIFS( Data!$X:$X, Data!$C:$C, $A52, Data!$Y:$Y, $B52 ) )</f>
        <v>839.6</v>
      </c>
      <c r="D52" s="18">
        <f>IF($A52="", "", SUMIFS( Weekly_Bonus_By_Person!$D:$D, Weekly_Bonus_By_Person!$A:$A, $A52, Weekly_Bonus_By_Person!$C:$C, $B52 ) )</f>
        <v>0</v>
      </c>
      <c r="E52" s="24">
        <f t="shared" si="1"/>
        <v>839.6</v>
      </c>
    </row>
    <row r="53">
      <c r="A53" s="18" t="str">
        <f>IFERROR(__xludf.DUMMYFUNCTION("""COMPUTED_VALUE"""),"Jacob Anderson")</f>
        <v>Jacob Anderson</v>
      </c>
      <c r="B53" s="14">
        <f>IFERROR(__xludf.DUMMYFUNCTION("""COMPUTED_VALUE"""),46052.0)</f>
        <v>46052</v>
      </c>
      <c r="C53" s="24">
        <f>IF($A53="", "",  SUMIFS( Data!$T:$T, Data!$C:$C, $A53, Data!$Y:$Y, $B53 ) + SUMIFS( Data!$X:$X, Data!$C:$C, $A53, Data!$Y:$Y, $B53 ) )</f>
        <v>854.7</v>
      </c>
      <c r="D53" s="18">
        <f>IF($A53="", "", SUMIFS( Weekly_Bonus_By_Person!$D:$D, Weekly_Bonus_By_Person!$A:$A, $A53, Weekly_Bonus_By_Person!$C:$C, $B53 ) )</f>
        <v>0</v>
      </c>
      <c r="E53" s="24">
        <f t="shared" si="1"/>
        <v>854.7</v>
      </c>
    </row>
    <row r="54">
      <c r="A54" s="18" t="str">
        <f>IFERROR(__xludf.DUMMYFUNCTION("""COMPUTED_VALUE"""),"Rebecca Goldstein")</f>
        <v>Rebecca Goldstein</v>
      </c>
      <c r="B54" s="14">
        <f>IFERROR(__xludf.DUMMYFUNCTION("""COMPUTED_VALUE"""),46052.0)</f>
        <v>46052</v>
      </c>
      <c r="C54" s="24">
        <f>IF($A54="", "",  SUMIFS( Data!$T:$T, Data!$C:$C, $A54, Data!$Y:$Y, $B54 ) + SUMIFS( Data!$X:$X, Data!$C:$C, $A54, Data!$Y:$Y, $B54 ) )</f>
        <v>342</v>
      </c>
      <c r="D54" s="18">
        <f>IF($A54="", "", SUMIFS( Weekly_Bonus_By_Person!$D:$D, Weekly_Bonus_By_Person!$A:$A, $A54, Weekly_Bonus_By_Person!$C:$C, $B54 ) )</f>
        <v>0</v>
      </c>
      <c r="E54" s="24">
        <f t="shared" si="1"/>
        <v>342</v>
      </c>
    </row>
    <row r="55">
      <c r="A55" s="18" t="str">
        <f>IFERROR(__xludf.DUMMYFUNCTION("""COMPUTED_VALUE"""),"Nia Brown")</f>
        <v>Nia Brown</v>
      </c>
      <c r="B55" s="14">
        <f>IFERROR(__xludf.DUMMYFUNCTION("""COMPUTED_VALUE"""),46052.0)</f>
        <v>46052</v>
      </c>
      <c r="C55" s="24">
        <f>IF($A55="", "",  SUMIFS( Data!$T:$T, Data!$C:$C, $A55, Data!$Y:$Y, $B55 ) + SUMIFS( Data!$X:$X, Data!$C:$C, $A55, Data!$Y:$Y, $B55 ) )</f>
        <v>563.6</v>
      </c>
      <c r="D55" s="18">
        <f>IF($A55="", "", SUMIFS( Weekly_Bonus_By_Person!$D:$D, Weekly_Bonus_By_Person!$A:$A, $A55, Weekly_Bonus_By_Person!$C:$C, $B55 ) )</f>
        <v>0</v>
      </c>
      <c r="E55" s="24">
        <f t="shared" si="1"/>
        <v>563.6</v>
      </c>
    </row>
    <row r="56">
      <c r="A56" s="18" t="str">
        <f>IFERROR(__xludf.DUMMYFUNCTION("""COMPUTED_VALUE"""),"Michael Sullivan")</f>
        <v>Michael Sullivan</v>
      </c>
      <c r="B56" s="14">
        <f>IFERROR(__xludf.DUMMYFUNCTION("""COMPUTED_VALUE"""),46052.0)</f>
        <v>46052</v>
      </c>
      <c r="C56" s="24">
        <f>IF($A56="", "",  SUMIFS( Data!$T:$T, Data!$C:$C, $A56, Data!$Y:$Y, $B56 ) + SUMIFS( Data!$X:$X, Data!$C:$C, $A56, Data!$Y:$Y, $B56 ) )</f>
        <v>24</v>
      </c>
      <c r="D56" s="18">
        <f>IF($A56="", "", SUMIFS( Weekly_Bonus_By_Person!$D:$D, Weekly_Bonus_By_Person!$A:$A, $A56, Weekly_Bonus_By_Person!$C:$C, $B56 ) )</f>
        <v>0</v>
      </c>
      <c r="E56" s="24">
        <f t="shared" si="1"/>
        <v>24</v>
      </c>
    </row>
    <row r="57">
      <c r="A57" s="18" t="str">
        <f>IFERROR(__xludf.DUMMYFUNCTION("""COMPUTED_VALUE"""),"Yara Haddad")</f>
        <v>Yara Haddad</v>
      </c>
      <c r="B57" s="14">
        <f>IFERROR(__xludf.DUMMYFUNCTION("""COMPUTED_VALUE"""),46052.0)</f>
        <v>46052</v>
      </c>
      <c r="C57" s="24">
        <f>IF($A57="", "",  SUMIFS( Data!$T:$T, Data!$C:$C, $A57, Data!$Y:$Y, $B57 ) + SUMIFS( Data!$X:$X, Data!$C:$C, $A57, Data!$Y:$Y, $B57 ) )</f>
        <v>403.2</v>
      </c>
      <c r="D57" s="18">
        <f>IF($A57="", "", SUMIFS( Weekly_Bonus_By_Person!$D:$D, Weekly_Bonus_By_Person!$A:$A, $A57, Weekly_Bonus_By_Person!$C:$C, $B57 ) )</f>
        <v>0</v>
      </c>
      <c r="E57" s="24">
        <f t="shared" si="1"/>
        <v>403.2</v>
      </c>
    </row>
    <row r="58">
      <c r="A58" s="18" t="str">
        <f>IFERROR(__xludf.DUMMYFUNCTION("""COMPUTED_VALUE"""),"José Alvarez")</f>
        <v>José Alvarez</v>
      </c>
      <c r="B58" s="14">
        <f>IFERROR(__xludf.DUMMYFUNCTION("""COMPUTED_VALUE"""),46052.0)</f>
        <v>46052</v>
      </c>
      <c r="C58" s="24">
        <f>IF($A58="", "",  SUMIFS( Data!$T:$T, Data!$C:$C, $A58, Data!$Y:$Y, $B58 ) + SUMIFS( Data!$X:$X, Data!$C:$C, $A58, Data!$Y:$Y, $B58 ) )</f>
        <v>472.8</v>
      </c>
      <c r="D58" s="18">
        <f>IF($A58="", "", SUMIFS( Weekly_Bonus_By_Person!$D:$D, Weekly_Bonus_By_Person!$A:$A, $A58, Weekly_Bonus_By_Person!$C:$C, $B58 ) )</f>
        <v>0</v>
      </c>
      <c r="E58" s="24">
        <f t="shared" si="1"/>
        <v>472.8</v>
      </c>
    </row>
    <row r="59">
      <c r="A59" s="18" t="str">
        <f>IFERROR(__xludf.DUMMYFUNCTION("""COMPUTED_VALUE"""),"Brittany Scott")</f>
        <v>Brittany Scott</v>
      </c>
      <c r="B59" s="14">
        <f>IFERROR(__xludf.DUMMYFUNCTION("""COMPUTED_VALUE"""),46052.0)</f>
        <v>46052</v>
      </c>
      <c r="C59" s="24">
        <f>IF($A59="", "",  SUMIFS( Data!$T:$T, Data!$C:$C, $A59, Data!$Y:$Y, $B59 ) + SUMIFS( Data!$X:$X, Data!$C:$C, $A59, Data!$Y:$Y, $B59 ) )</f>
        <v>400</v>
      </c>
      <c r="D59" s="18">
        <f>IF($A59="", "", SUMIFS( Weekly_Bonus_By_Person!$D:$D, Weekly_Bonus_By_Person!$A:$A, $A59, Weekly_Bonus_By_Person!$C:$C, $B59 ) )</f>
        <v>0</v>
      </c>
      <c r="E59" s="24">
        <f t="shared" si="1"/>
        <v>400</v>
      </c>
    </row>
    <row r="60">
      <c r="A60" s="18" t="str">
        <f>IFERROR(__xludf.DUMMYFUNCTION("""COMPUTED_VALUE"""),"Kofi Boateng")</f>
        <v>Kofi Boateng</v>
      </c>
      <c r="B60" s="14">
        <f>IFERROR(__xludf.DUMMYFUNCTION("""COMPUTED_VALUE"""),46052.0)</f>
        <v>46052</v>
      </c>
      <c r="C60" s="24">
        <f>IF($A60="", "",  SUMIFS( Data!$T:$T, Data!$C:$C, $A60, Data!$Y:$Y, $B60 ) + SUMIFS( Data!$X:$X, Data!$C:$C, $A60, Data!$Y:$Y, $B60 ) )</f>
        <v>443.6</v>
      </c>
      <c r="D60" s="18">
        <f>IF($A60="", "", SUMIFS( Weekly_Bonus_By_Person!$D:$D, Weekly_Bonus_By_Person!$A:$A, $A60, Weekly_Bonus_By_Person!$C:$C, $B60 ) )</f>
        <v>0</v>
      </c>
      <c r="E60" s="24">
        <f t="shared" si="1"/>
        <v>443.6</v>
      </c>
    </row>
    <row r="61">
      <c r="A61" s="18" t="str">
        <f>IFERROR(__xludf.DUMMYFUNCTION("""COMPUTED_VALUE"""),"Julia Kowalski")</f>
        <v>Julia Kowalski</v>
      </c>
      <c r="B61" s="14">
        <f>IFERROR(__xludf.DUMMYFUNCTION("""COMPUTED_VALUE"""),46066.0)</f>
        <v>46066</v>
      </c>
      <c r="C61" s="24">
        <f>IF($A61="", "",  SUMIFS( Data!$T:$T, Data!$C:$C, $A61, Data!$Y:$Y, $B61 ) + SUMIFS( Data!$X:$X, Data!$C:$C, $A61, Data!$Y:$Y, $B61 ) )</f>
        <v>181.6666667</v>
      </c>
      <c r="D61" s="18">
        <f>IF($A61="", "", SUMIFS( Weekly_Bonus_By_Person!$D:$D, Weekly_Bonus_By_Person!$A:$A, $A61, Weekly_Bonus_By_Person!$C:$C, $B61 ) )</f>
        <v>0</v>
      </c>
      <c r="E61" s="24">
        <f t="shared" si="1"/>
        <v>181.6666667</v>
      </c>
    </row>
    <row r="62">
      <c r="A62" s="18" t="str">
        <f>IFERROR(__xludf.DUMMYFUNCTION("""COMPUTED_VALUE"""),"Jordan Williams")</f>
        <v>Jordan Williams</v>
      </c>
      <c r="B62" s="14">
        <f>IFERROR(__xludf.DUMMYFUNCTION("""COMPUTED_VALUE"""),46066.0)</f>
        <v>46066</v>
      </c>
      <c r="C62" s="24">
        <f>IF($A62="", "",  SUMIFS( Data!$T:$T, Data!$C:$C, $A62, Data!$Y:$Y, $B62 ) + SUMIFS( Data!$X:$X, Data!$C:$C, $A62, Data!$Y:$Y, $B62 ) )</f>
        <v>262.5</v>
      </c>
      <c r="D62" s="18">
        <f>IF($A62="", "", SUMIFS( Weekly_Bonus_By_Person!$D:$D, Weekly_Bonus_By_Person!$A:$A, $A62, Weekly_Bonus_By_Person!$C:$C, $B62 ) )</f>
        <v>0</v>
      </c>
      <c r="E62" s="24">
        <f t="shared" si="1"/>
        <v>262.5</v>
      </c>
    </row>
    <row r="63">
      <c r="A63" s="18" t="str">
        <f>IFERROR(__xludf.DUMMYFUNCTION("""COMPUTED_VALUE"""),"Fatima Hassan")</f>
        <v>Fatima Hassan</v>
      </c>
      <c r="B63" s="14">
        <f>IFERROR(__xludf.DUMMYFUNCTION("""COMPUTED_VALUE"""),46066.0)</f>
        <v>46066</v>
      </c>
      <c r="C63" s="24">
        <f>IF($A63="", "",  SUMIFS( Data!$T:$T, Data!$C:$C, $A63, Data!$Y:$Y, $B63 ) + SUMIFS( Data!$X:$X, Data!$C:$C, $A63, Data!$Y:$Y, $B63 ) )</f>
        <v>172.5</v>
      </c>
      <c r="D63" s="18">
        <f>IF($A63="", "", SUMIFS( Weekly_Bonus_By_Person!$D:$D, Weekly_Bonus_By_Person!$A:$A, $A63, Weekly_Bonus_By_Person!$C:$C, $B63 ) )</f>
        <v>0</v>
      </c>
      <c r="E63" s="24">
        <f t="shared" si="1"/>
        <v>172.5</v>
      </c>
    </row>
    <row r="64">
      <c r="A64" s="18" t="str">
        <f>IFERROR(__xludf.DUMMYFUNCTION("""COMPUTED_VALUE"""),"Ethan Brooks")</f>
        <v>Ethan Brooks</v>
      </c>
      <c r="B64" s="14">
        <f>IFERROR(__xludf.DUMMYFUNCTION("""COMPUTED_VALUE"""),46066.0)</f>
        <v>46066</v>
      </c>
      <c r="C64" s="24">
        <f>IF($A64="", "",  SUMIFS( Data!$T:$T, Data!$C:$C, $A64, Data!$Y:$Y, $B64 ) + SUMIFS( Data!$X:$X, Data!$C:$C, $A64, Data!$Y:$Y, $B64 ) )</f>
        <v>165.4166667</v>
      </c>
      <c r="D64" s="18">
        <f>IF($A64="", "", SUMIFS( Weekly_Bonus_By_Person!$D:$D, Weekly_Bonus_By_Person!$A:$A, $A64, Weekly_Bonus_By_Person!$C:$C, $B64 ) )</f>
        <v>0</v>
      </c>
      <c r="E64" s="24">
        <f t="shared" si="1"/>
        <v>165.4166667</v>
      </c>
    </row>
    <row r="65">
      <c r="A65" s="18" t="str">
        <f>IFERROR(__xludf.DUMMYFUNCTION("""COMPUTED_VALUE"""),"Kevin Murphy")</f>
        <v>Kevin Murphy</v>
      </c>
      <c r="B65" s="14">
        <f>IFERROR(__xludf.DUMMYFUNCTION("""COMPUTED_VALUE"""),46066.0)</f>
        <v>46066</v>
      </c>
      <c r="C65" s="24">
        <f>IF($A65="", "",  SUMIFS( Data!$T:$T, Data!$C:$C, $A65, Data!$Y:$Y, $B65 ) + SUMIFS( Data!$X:$X, Data!$C:$C, $A65, Data!$Y:$Y, $B65 ) )</f>
        <v>187.5</v>
      </c>
      <c r="D65" s="18">
        <f>IF($A65="", "", SUMIFS( Weekly_Bonus_By_Person!$D:$D, Weekly_Bonus_By_Person!$A:$A, $A65, Weekly_Bonus_By_Person!$C:$C, $B65 ) )</f>
        <v>0</v>
      </c>
      <c r="E65" s="24">
        <f t="shared" si="1"/>
        <v>187.5</v>
      </c>
    </row>
    <row r="66">
      <c r="A66" s="18" t="str">
        <f>IFERROR(__xludf.DUMMYFUNCTION("""COMPUTED_VALUE"""),"Grace Nguyen")</f>
        <v>Grace Nguyen</v>
      </c>
      <c r="B66" s="14">
        <f>IFERROR(__xludf.DUMMYFUNCTION("""COMPUTED_VALUE"""),46066.0)</f>
        <v>46066</v>
      </c>
      <c r="C66" s="24">
        <f>IF($A66="", "",  SUMIFS( Data!$T:$T, Data!$C:$C, $A66, Data!$Y:$Y, $B66 ) + SUMIFS( Data!$X:$X, Data!$C:$C, $A66, Data!$Y:$Y, $B66 ) )</f>
        <v>207.45</v>
      </c>
      <c r="D66" s="18">
        <f>IF($A66="", "", SUMIFS( Weekly_Bonus_By_Person!$D:$D, Weekly_Bonus_By_Person!$A:$A, $A66, Weekly_Bonus_By_Person!$C:$C, $B66 ) )</f>
        <v>0</v>
      </c>
      <c r="E66" s="24">
        <f t="shared" si="1"/>
        <v>207.45</v>
      </c>
    </row>
    <row r="67">
      <c r="A67" s="18" t="str">
        <f>IFERROR(__xludf.DUMMYFUNCTION("""COMPUTED_VALUE"""),"Ava Reynolds")</f>
        <v>Ava Reynolds</v>
      </c>
      <c r="B67" s="14">
        <f>IFERROR(__xludf.DUMMYFUNCTION("""COMPUTED_VALUE"""),46066.0)</f>
        <v>46066</v>
      </c>
      <c r="C67" s="24">
        <f>IF($A67="", "",  SUMIFS( Data!$T:$T, Data!$C:$C, $A67, Data!$Y:$Y, $B67 ) + SUMIFS( Data!$X:$X, Data!$C:$C, $A67, Data!$Y:$Y, $B67 ) )</f>
        <v>243.75</v>
      </c>
      <c r="D67" s="18">
        <f>IF($A67="", "", SUMIFS( Weekly_Bonus_By_Person!$D:$D, Weekly_Bonus_By_Person!$A:$A, $A67, Weekly_Bonus_By_Person!$C:$C, $B67 ) )</f>
        <v>0</v>
      </c>
      <c r="E67" s="24">
        <f t="shared" si="1"/>
        <v>243.75</v>
      </c>
    </row>
    <row r="68">
      <c r="A68" s="18" t="str">
        <f>IFERROR(__xludf.DUMMYFUNCTION("""COMPUTED_VALUE"""),"Aisha Johnson")</f>
        <v>Aisha Johnson</v>
      </c>
      <c r="B68" s="14">
        <f>IFERROR(__xludf.DUMMYFUNCTION("""COMPUTED_VALUE"""),46066.0)</f>
        <v>46066</v>
      </c>
      <c r="C68" s="24">
        <f>IF($A68="", "",  SUMIFS( Data!$T:$T, Data!$C:$C, $A68, Data!$Y:$Y, $B68 ) + SUMIFS( Data!$X:$X, Data!$C:$C, $A68, Data!$Y:$Y, $B68 ) )</f>
        <v>283.55</v>
      </c>
      <c r="D68" s="18">
        <f>IF($A68="", "", SUMIFS( Weekly_Bonus_By_Person!$D:$D, Weekly_Bonus_By_Person!$A:$A, $A68, Weekly_Bonus_By_Person!$C:$C, $B68 ) )</f>
        <v>0</v>
      </c>
      <c r="E68" s="24">
        <f t="shared" si="1"/>
        <v>283.55</v>
      </c>
    </row>
    <row r="69">
      <c r="A69" s="18" t="str">
        <f>IFERROR(__xludf.DUMMYFUNCTION("""COMPUTED_VALUE"""),"Denis Petrov")</f>
        <v>Denis Petrov</v>
      </c>
      <c r="B69" s="14">
        <f>IFERROR(__xludf.DUMMYFUNCTION("""COMPUTED_VALUE"""),46066.0)</f>
        <v>46066</v>
      </c>
      <c r="C69" s="24">
        <f>IF($A69="", "",  SUMIFS( Data!$T:$T, Data!$C:$C, $A69, Data!$Y:$Y, $B69 ) + SUMIFS( Data!$X:$X, Data!$C:$C, $A69, Data!$Y:$Y, $B69 ) )</f>
        <v>212.5</v>
      </c>
      <c r="D69" s="18">
        <f>IF($A69="", "", SUMIFS( Weekly_Bonus_By_Person!$D:$D, Weekly_Bonus_By_Person!$A:$A, $A69, Weekly_Bonus_By_Person!$C:$C, $B69 ) )</f>
        <v>0</v>
      </c>
      <c r="E69" s="24">
        <f t="shared" si="1"/>
        <v>212.5</v>
      </c>
    </row>
    <row r="70">
      <c r="A70" s="18" t="str">
        <f>IFERROR(__xludf.DUMMYFUNCTION("""COMPUTED_VALUE"""),"Emily Chen")</f>
        <v>Emily Chen</v>
      </c>
      <c r="B70" s="14">
        <f>IFERROR(__xludf.DUMMYFUNCTION("""COMPUTED_VALUE"""),46066.0)</f>
        <v>46066</v>
      </c>
      <c r="C70" s="24">
        <f>IF($A70="", "",  SUMIFS( Data!$T:$T, Data!$C:$C, $A70, Data!$Y:$Y, $B70 ) + SUMIFS( Data!$X:$X, Data!$C:$C, $A70, Data!$Y:$Y, $B70 ) )</f>
        <v>216.45</v>
      </c>
      <c r="D70" s="18">
        <f>IF($A70="", "", SUMIFS( Weekly_Bonus_By_Person!$D:$D, Weekly_Bonus_By_Person!$A:$A, $A70, Weekly_Bonus_By_Person!$C:$C, $B70 ) )</f>
        <v>0</v>
      </c>
      <c r="E70" s="24">
        <f t="shared" si="1"/>
        <v>216.45</v>
      </c>
    </row>
    <row r="71">
      <c r="A71" s="18" t="str">
        <f>IFERROR(__xludf.DUMMYFUNCTION("""COMPUTED_VALUE"""),"Sienna Russo")</f>
        <v>Sienna Russo</v>
      </c>
      <c r="B71" s="14">
        <f>IFERROR(__xludf.DUMMYFUNCTION("""COMPUTED_VALUE"""),46066.0)</f>
        <v>46066</v>
      </c>
      <c r="C71" s="24">
        <f>IF($A71="", "",  SUMIFS( Data!$T:$T, Data!$C:$C, $A71, Data!$Y:$Y, $B71 ) + SUMIFS( Data!$X:$X, Data!$C:$C, $A71, Data!$Y:$Y, $B71 ) )</f>
        <v>206</v>
      </c>
      <c r="D71" s="18">
        <f>IF($A71="", "", SUMIFS( Weekly_Bonus_By_Person!$D:$D, Weekly_Bonus_By_Person!$A:$A, $A71, Weekly_Bonus_By_Person!$C:$C, $B71 ) )</f>
        <v>0</v>
      </c>
      <c r="E71" s="24">
        <f t="shared" si="1"/>
        <v>206</v>
      </c>
    </row>
    <row r="72">
      <c r="A72" s="18" t="str">
        <f>IFERROR(__xludf.DUMMYFUNCTION("""COMPUTED_VALUE"""),"Tariq Khan")</f>
        <v>Tariq Khan</v>
      </c>
      <c r="B72" s="14">
        <f>IFERROR(__xludf.DUMMYFUNCTION("""COMPUTED_VALUE"""),46066.0)</f>
        <v>46066</v>
      </c>
      <c r="C72" s="24">
        <f>IF($A72="", "",  SUMIFS( Data!$T:$T, Data!$C:$C, $A72, Data!$Y:$Y, $B72 ) + SUMIFS( Data!$X:$X, Data!$C:$C, $A72, Data!$Y:$Y, $B72 ) )</f>
        <v>250</v>
      </c>
      <c r="D72" s="18">
        <f>IF($A72="", "", SUMIFS( Weekly_Bonus_By_Person!$D:$D, Weekly_Bonus_By_Person!$A:$A, $A72, Weekly_Bonus_By_Person!$C:$C, $B72 ) )</f>
        <v>0</v>
      </c>
      <c r="E72" s="24">
        <f t="shared" si="1"/>
        <v>250</v>
      </c>
    </row>
    <row r="73">
      <c r="A73" s="18" t="str">
        <f>IFERROR(__xludf.DUMMYFUNCTION("""COMPUTED_VALUE"""),"Jamal Washington")</f>
        <v>Jamal Washington</v>
      </c>
      <c r="B73" s="14">
        <f>IFERROR(__xludf.DUMMYFUNCTION("""COMPUTED_VALUE"""),46066.0)</f>
        <v>46066</v>
      </c>
      <c r="C73" s="24">
        <f>IF($A73="", "",  SUMIFS( Data!$T:$T, Data!$C:$C, $A73, Data!$Y:$Y, $B73 ) + SUMIFS( Data!$X:$X, Data!$C:$C, $A73, Data!$Y:$Y, $B73 ) )</f>
        <v>324.3</v>
      </c>
      <c r="D73" s="18">
        <f>IF($A73="", "", SUMIFS( Weekly_Bonus_By_Person!$D:$D, Weekly_Bonus_By_Person!$A:$A, $A73, Weekly_Bonus_By_Person!$C:$C, $B73 ) )</f>
        <v>0</v>
      </c>
      <c r="E73" s="24">
        <f t="shared" si="1"/>
        <v>324.3</v>
      </c>
    </row>
    <row r="74">
      <c r="A74" s="18" t="str">
        <f>IFERROR(__xludf.DUMMYFUNCTION("""COMPUTED_VALUE"""),"Brooke Foster")</f>
        <v>Brooke Foster</v>
      </c>
      <c r="B74" s="14">
        <f>IFERROR(__xludf.DUMMYFUNCTION("""COMPUTED_VALUE"""),46066.0)</f>
        <v>46066</v>
      </c>
      <c r="C74" s="24">
        <f>IF($A74="", "",  SUMIFS( Data!$T:$T, Data!$C:$C, $A74, Data!$Y:$Y, $B74 ) + SUMIFS( Data!$X:$X, Data!$C:$C, $A74, Data!$Y:$Y, $B74 ) )</f>
        <v>270</v>
      </c>
      <c r="D74" s="18">
        <f>IF($A74="", "", SUMIFS( Weekly_Bonus_By_Person!$D:$D, Weekly_Bonus_By_Person!$A:$A, $A74, Weekly_Bonus_By_Person!$C:$C, $B74 ) )</f>
        <v>0</v>
      </c>
      <c r="E74" s="24">
        <f t="shared" si="1"/>
        <v>270</v>
      </c>
    </row>
    <row r="75">
      <c r="A75" s="18" t="str">
        <f>IFERROR(__xludf.DUMMYFUNCTION("""COMPUTED_VALUE"""),"Marcus Thompson")</f>
        <v>Marcus Thompson</v>
      </c>
      <c r="B75" s="14">
        <f>IFERROR(__xludf.DUMMYFUNCTION("""COMPUTED_VALUE"""),46066.0)</f>
        <v>46066</v>
      </c>
      <c r="C75" s="24">
        <f>IF($A75="", "",  SUMIFS( Data!$T:$T, Data!$C:$C, $A75, Data!$Y:$Y, $B75 ) + SUMIFS( Data!$X:$X, Data!$C:$C, $A75, Data!$Y:$Y, $B75 ) )</f>
        <v>208</v>
      </c>
      <c r="D75" s="18">
        <f>IF($A75="", "", SUMIFS( Weekly_Bonus_By_Person!$D:$D, Weekly_Bonus_By_Person!$A:$A, $A75, Weekly_Bonus_By_Person!$C:$C, $B75 ) )</f>
        <v>0</v>
      </c>
      <c r="E75" s="24">
        <f t="shared" si="1"/>
        <v>208</v>
      </c>
    </row>
    <row r="76">
      <c r="A76" s="18" t="str">
        <f>IFERROR(__xludf.DUMMYFUNCTION("""COMPUTED_VALUE"""),"David Okafor")</f>
        <v>David Okafor</v>
      </c>
      <c r="B76" s="14">
        <f>IFERROR(__xludf.DUMMYFUNCTION("""COMPUTED_VALUE"""),46066.0)</f>
        <v>46066</v>
      </c>
      <c r="C76" s="24">
        <f>IF($A76="", "",  SUMIFS( Data!$T:$T, Data!$C:$C, $A76, Data!$Y:$Y, $B76 ) + SUMIFS( Data!$X:$X, Data!$C:$C, $A76, Data!$Y:$Y, $B76 ) )</f>
        <v>232</v>
      </c>
      <c r="D76" s="18">
        <f>IF($A76="", "", SUMIFS( Weekly_Bonus_By_Person!$D:$D, Weekly_Bonus_By_Person!$A:$A, $A76, Weekly_Bonus_By_Person!$C:$C, $B76 ) )</f>
        <v>0</v>
      </c>
      <c r="E76" s="24">
        <f t="shared" si="1"/>
        <v>232</v>
      </c>
    </row>
    <row r="77">
      <c r="A77" s="18" t="str">
        <f>IFERROR(__xludf.DUMMYFUNCTION("""COMPUTED_VALUE"""),"Maya Patel")</f>
        <v>Maya Patel</v>
      </c>
      <c r="B77" s="14">
        <f>IFERROR(__xludf.DUMMYFUNCTION("""COMPUTED_VALUE"""),46066.0)</f>
        <v>46066</v>
      </c>
      <c r="C77" s="24">
        <f>IF($A77="", "",  SUMIFS( Data!$T:$T, Data!$C:$C, $A77, Data!$Y:$Y, $B77 ) + SUMIFS( Data!$X:$X, Data!$C:$C, $A77, Data!$Y:$Y, $B77 ) )</f>
        <v>224.9</v>
      </c>
      <c r="D77" s="18">
        <f>IF($A77="", "", SUMIFS( Weekly_Bonus_By_Person!$D:$D, Weekly_Bonus_By_Person!$A:$A, $A77, Weekly_Bonus_By_Person!$C:$C, $B77 ) )</f>
        <v>0</v>
      </c>
      <c r="E77" s="24">
        <f t="shared" si="1"/>
        <v>224.9</v>
      </c>
    </row>
    <row r="78">
      <c r="A78" s="18" t="str">
        <f>IFERROR(__xludf.DUMMYFUNCTION("""COMPUTED_VALUE"""),"Haruto Tanaka")</f>
        <v>Haruto Tanaka</v>
      </c>
      <c r="B78" s="14">
        <f>IFERROR(__xludf.DUMMYFUNCTION("""COMPUTED_VALUE"""),46066.0)</f>
        <v>46066</v>
      </c>
      <c r="C78" s="24">
        <f>IF($A78="", "",  SUMIFS( Data!$T:$T, Data!$C:$C, $A78, Data!$Y:$Y, $B78 ) + SUMIFS( Data!$X:$X, Data!$C:$C, $A78, Data!$Y:$Y, $B78 ) )</f>
        <v>210</v>
      </c>
      <c r="D78" s="18">
        <f>IF($A78="", "", SUMIFS( Weekly_Bonus_By_Person!$D:$D, Weekly_Bonus_By_Person!$A:$A, $A78, Weekly_Bonus_By_Person!$C:$C, $B78 ) )</f>
        <v>0</v>
      </c>
      <c r="E78" s="24">
        <f t="shared" si="1"/>
        <v>210</v>
      </c>
    </row>
    <row r="79">
      <c r="A79" s="18" t="str">
        <f>IFERROR(__xludf.DUMMYFUNCTION("""COMPUTED_VALUE"""),"Nia Brown")</f>
        <v>Nia Brown</v>
      </c>
      <c r="B79" s="14">
        <f>IFERROR(__xludf.DUMMYFUNCTION("""COMPUTED_VALUE"""),46066.0)</f>
        <v>46066</v>
      </c>
      <c r="C79" s="24">
        <f>IF($A79="", "",  SUMIFS( Data!$T:$T, Data!$C:$C, $A79, Data!$Y:$Y, $B79 ) + SUMIFS( Data!$X:$X, Data!$C:$C, $A79, Data!$Y:$Y, $B79 ) )</f>
        <v>231.2</v>
      </c>
      <c r="D79" s="18">
        <f>IF($A79="", "", SUMIFS( Weekly_Bonus_By_Person!$D:$D, Weekly_Bonus_By_Person!$A:$A, $A79, Weekly_Bonus_By_Person!$C:$C, $B79 ) )</f>
        <v>0</v>
      </c>
      <c r="E79" s="24">
        <f t="shared" si="1"/>
        <v>231.2</v>
      </c>
    </row>
    <row r="80">
      <c r="A80" s="18" t="str">
        <f>IFERROR(__xludf.DUMMYFUNCTION("""COMPUTED_VALUE"""),"Jacob Anderson")</f>
        <v>Jacob Anderson</v>
      </c>
      <c r="B80" s="14">
        <f>IFERROR(__xludf.DUMMYFUNCTION("""COMPUTED_VALUE"""),46066.0)</f>
        <v>46066</v>
      </c>
      <c r="C80" s="24">
        <f>IF($A80="", "",  SUMIFS( Data!$T:$T, Data!$C:$C, $A80, Data!$Y:$Y, $B80 ) + SUMIFS( Data!$X:$X, Data!$C:$C, $A80, Data!$Y:$Y, $B80 ) )</f>
        <v>200.2</v>
      </c>
      <c r="D80" s="18">
        <f>IF($A80="", "", SUMIFS( Weekly_Bonus_By_Person!$D:$D, Weekly_Bonus_By_Person!$A:$A, $A80, Weekly_Bonus_By_Person!$C:$C, $B80 ) )</f>
        <v>0</v>
      </c>
      <c r="E80" s="24">
        <f t="shared" si="1"/>
        <v>200.2</v>
      </c>
    </row>
    <row r="81">
      <c r="A81" s="18" t="str">
        <f>IFERROR(__xludf.DUMMYFUNCTION("""COMPUTED_VALUE"""),"Zainab Ali")</f>
        <v>Zainab Ali</v>
      </c>
      <c r="B81" s="14">
        <f>IFERROR(__xludf.DUMMYFUNCTION("""COMPUTED_VALUE"""),46066.0)</f>
        <v>46066</v>
      </c>
      <c r="C81" s="24">
        <f>IF($A81="", "",  SUMIFS( Data!$T:$T, Data!$C:$C, $A81, Data!$Y:$Y, $B81 ) + SUMIFS( Data!$X:$X, Data!$C:$C, $A81, Data!$Y:$Y, $B81 ) )</f>
        <v>102.6666667</v>
      </c>
      <c r="D81" s="18">
        <f>IF($A81="", "", SUMIFS( Weekly_Bonus_By_Person!$D:$D, Weekly_Bonus_By_Person!$A:$A, $A81, Weekly_Bonus_By_Person!$C:$C, $B81 ) )</f>
        <v>0</v>
      </c>
      <c r="E81" s="24">
        <f t="shared" si="1"/>
        <v>102.6666667</v>
      </c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A87" s="10" t="s">
        <v>97</v>
      </c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drawing r:id="rId1"/>
</worksheet>
</file>